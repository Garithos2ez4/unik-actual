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8ADA831DAF2130/Clientes/Computo/Promociones - Ofertas - Mercado Libre - Olx - Facebook/Productos Ofertados/PLANTILLAS/"/>
    </mc:Choice>
  </mc:AlternateContent>
  <xr:revisionPtr revIDLastSave="2079" documentId="14_{49B29F18-5051-45AE-AA25-C97309093B0F}" xr6:coauthVersionLast="47" xr6:coauthVersionMax="47" xr10:uidLastSave="{5BCDDBFA-BD90-46C0-95DB-B4F071A50D3A}"/>
  <bookViews>
    <workbookView xWindow="3375" yWindow="3375" windowWidth="22830" windowHeight="12045" tabRatio="587" firstSheet="4" activeTab="4" xr2:uid="{00000000-000D-0000-FFFF-FFFF00000000}"/>
  </bookViews>
  <sheets>
    <sheet name="i5" sheetId="35" r:id="rId1"/>
    <sheet name="I3 (3)" sheetId="33" r:id="rId2"/>
    <sheet name="I3 (2)" sheetId="32" r:id="rId3"/>
    <sheet name="Calcular Soles" sheetId="36" r:id="rId4"/>
    <sheet name="Precio Venta + Calculo %" sheetId="26" r:id="rId5"/>
    <sheet name="Hoja2" sheetId="30" r:id="rId6"/>
    <sheet name="Hoja1" sheetId="29" r:id="rId7"/>
    <sheet name="Tabla Comisiones Lineo" sheetId="21" r:id="rId8"/>
    <sheet name="LISTA PROD INVENT" sheetId="28" r:id="rId9"/>
    <sheet name="I3" sheetId="31" r:id="rId10"/>
    <sheet name="CELERON" sheetId="22" r:id="rId11"/>
    <sheet name="1 (3)" sheetId="20" r:id="rId12"/>
  </sheets>
  <definedNames>
    <definedName name="_xlnm._FilterDatabase" localSheetId="8" hidden="1">'LISTA PROD INVENT'!$B$1:$B$113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26" l="1"/>
  <c r="I35" i="26"/>
  <c r="I36" i="26"/>
  <c r="L39" i="26"/>
  <c r="L38" i="26"/>
  <c r="K40" i="26"/>
  <c r="I38" i="26"/>
  <c r="L46" i="26"/>
  <c r="L47" i="26" s="1"/>
  <c r="L48" i="26" s="1"/>
  <c r="L41" i="26"/>
  <c r="M38" i="26"/>
  <c r="K35" i="26"/>
  <c r="K50" i="36"/>
  <c r="L69" i="36"/>
  <c r="L60" i="36"/>
  <c r="Q47" i="36"/>
  <c r="Q48" i="36" s="1"/>
  <c r="K33" i="36"/>
  <c r="K34" i="36" s="1"/>
  <c r="G15" i="36"/>
  <c r="H15" i="36" s="1"/>
  <c r="I15" i="36" s="1"/>
  <c r="L15" i="36" s="1"/>
  <c r="G14" i="36"/>
  <c r="H14" i="36" s="1"/>
  <c r="I14" i="36" s="1"/>
  <c r="G15" i="26"/>
  <c r="H15" i="26" s="1"/>
  <c r="I15" i="26" s="1"/>
  <c r="L15" i="26" s="1"/>
  <c r="G16" i="26"/>
  <c r="H16" i="26" s="1"/>
  <c r="I16" i="26" s="1"/>
  <c r="K41" i="26"/>
  <c r="K33" i="26"/>
  <c r="K32" i="26"/>
  <c r="R36" i="26"/>
  <c r="R35" i="26"/>
  <c r="I5" i="36"/>
  <c r="G5" i="36"/>
  <c r="G10" i="36"/>
  <c r="I10" i="36" s="1"/>
  <c r="G16" i="36"/>
  <c r="H16" i="36" s="1"/>
  <c r="I16" i="36" s="1"/>
  <c r="L16" i="36" s="1"/>
  <c r="G17" i="36"/>
  <c r="G18" i="36"/>
  <c r="G19" i="36"/>
  <c r="H19" i="36" s="1"/>
  <c r="I19" i="36" s="1"/>
  <c r="L19" i="36" s="1"/>
  <c r="G20" i="36"/>
  <c r="H20" i="36" s="1"/>
  <c r="I20" i="36" s="1"/>
  <c r="L20" i="36" s="1"/>
  <c r="G21" i="36"/>
  <c r="H21" i="36" s="1"/>
  <c r="I21" i="36" s="1"/>
  <c r="L21" i="36" s="1"/>
  <c r="G23" i="36"/>
  <c r="H23" i="36" s="1"/>
  <c r="I23" i="36" s="1"/>
  <c r="L23" i="36" s="1"/>
  <c r="G24" i="36"/>
  <c r="H24" i="36" s="1"/>
  <c r="I24" i="36" s="1"/>
  <c r="L24" i="36" s="1"/>
  <c r="G25" i="36"/>
  <c r="H25" i="36" s="1"/>
  <c r="I25" i="36" s="1"/>
  <c r="L25" i="36" s="1"/>
  <c r="G26" i="36"/>
  <c r="G27" i="36"/>
  <c r="G28" i="36"/>
  <c r="H28" i="36" s="1"/>
  <c r="I28" i="36" s="1"/>
  <c r="L28" i="36" s="1"/>
  <c r="G29" i="36"/>
  <c r="I29" i="36" s="1"/>
  <c r="L29" i="36" s="1"/>
  <c r="H18" i="36"/>
  <c r="I18" i="36" s="1"/>
  <c r="L18" i="36" s="1"/>
  <c r="M1048571" i="36"/>
  <c r="L1048569" i="36"/>
  <c r="L1048570" i="36" s="1"/>
  <c r="M1048465" i="36"/>
  <c r="J42" i="36"/>
  <c r="J43" i="36" s="1"/>
  <c r="I42" i="36"/>
  <c r="I43" i="36" s="1"/>
  <c r="M38" i="36"/>
  <c r="L37" i="36" s="1"/>
  <c r="L38" i="36"/>
  <c r="Q33" i="36"/>
  <c r="Q32" i="36"/>
  <c r="Q31" i="36"/>
  <c r="H27" i="36"/>
  <c r="I27" i="36" s="1"/>
  <c r="L27" i="36" s="1"/>
  <c r="H26" i="36"/>
  <c r="I26" i="36" s="1"/>
  <c r="L26" i="36" s="1"/>
  <c r="H17" i="36"/>
  <c r="I17" i="36" s="1"/>
  <c r="L17" i="36" s="1"/>
  <c r="I1" i="36"/>
  <c r="G17" i="26"/>
  <c r="H17" i="26" s="1"/>
  <c r="I17" i="26" s="1"/>
  <c r="G19" i="26"/>
  <c r="H19" i="26" s="1"/>
  <c r="I19" i="26" s="1"/>
  <c r="G18" i="26"/>
  <c r="H18" i="26" s="1"/>
  <c r="I18" i="26" s="1"/>
  <c r="G20" i="26"/>
  <c r="G21" i="26"/>
  <c r="M19" i="35"/>
  <c r="G15" i="35"/>
  <c r="I15" i="35" s="1"/>
  <c r="L15" i="35" s="1"/>
  <c r="M15" i="35" s="1"/>
  <c r="G8" i="35"/>
  <c r="I8" i="35" s="1"/>
  <c r="L8" i="35" s="1"/>
  <c r="M8" i="35" s="1"/>
  <c r="G116" i="35"/>
  <c r="M111" i="35"/>
  <c r="M114" i="35" s="1"/>
  <c r="M118" i="35" s="1"/>
  <c r="K110" i="35"/>
  <c r="G10" i="35"/>
  <c r="I10" i="35" s="1"/>
  <c r="L10" i="35" s="1"/>
  <c r="M10" i="35" s="1"/>
  <c r="G9" i="35"/>
  <c r="I9" i="35" s="1"/>
  <c r="L9" i="35" s="1"/>
  <c r="M9" i="35" s="1"/>
  <c r="G7" i="35"/>
  <c r="I7" i="35" s="1"/>
  <c r="L7" i="35" s="1"/>
  <c r="M7" i="35" s="1"/>
  <c r="G6" i="35"/>
  <c r="G5" i="35"/>
  <c r="I5" i="35" s="1"/>
  <c r="L5" i="35" s="1"/>
  <c r="M5" i="35" s="1"/>
  <c r="G4" i="35"/>
  <c r="I4" i="35" s="1"/>
  <c r="L4" i="35" s="1"/>
  <c r="M4" i="35" s="1"/>
  <c r="I1" i="35"/>
  <c r="J1" i="35" s="1"/>
  <c r="G131" i="33"/>
  <c r="M126" i="33"/>
  <c r="M129" i="33" s="1"/>
  <c r="M133" i="33" s="1"/>
  <c r="K125" i="33"/>
  <c r="G16" i="33"/>
  <c r="I16" i="33" s="1"/>
  <c r="L16" i="33" s="1"/>
  <c r="M16" i="33" s="1"/>
  <c r="G15" i="33"/>
  <c r="I15" i="33" s="1"/>
  <c r="L15" i="33" s="1"/>
  <c r="M15" i="33" s="1"/>
  <c r="G14" i="33"/>
  <c r="I14" i="33" s="1"/>
  <c r="L14" i="33" s="1"/>
  <c r="M14" i="33" s="1"/>
  <c r="G11" i="33"/>
  <c r="I11" i="33" s="1"/>
  <c r="L11" i="33" s="1"/>
  <c r="M11" i="33" s="1"/>
  <c r="G10" i="33"/>
  <c r="I10" i="33" s="1"/>
  <c r="L10" i="33" s="1"/>
  <c r="M10" i="33" s="1"/>
  <c r="G9" i="33"/>
  <c r="I9" i="33" s="1"/>
  <c r="L9" i="33" s="1"/>
  <c r="M9" i="33" s="1"/>
  <c r="G8" i="33"/>
  <c r="I8" i="33" s="1"/>
  <c r="L8" i="33" s="1"/>
  <c r="M8" i="33" s="1"/>
  <c r="G7" i="33"/>
  <c r="I7" i="33" s="1"/>
  <c r="L7" i="33" s="1"/>
  <c r="M7" i="33" s="1"/>
  <c r="G6" i="33"/>
  <c r="I6" i="33" s="1"/>
  <c r="L6" i="33" s="1"/>
  <c r="M6" i="33" s="1"/>
  <c r="G5" i="33"/>
  <c r="I5" i="33" s="1"/>
  <c r="L5" i="33" s="1"/>
  <c r="M5" i="33" s="1"/>
  <c r="G4" i="33"/>
  <c r="I4" i="33" s="1"/>
  <c r="L4" i="33" s="1"/>
  <c r="M4" i="33" s="1"/>
  <c r="I1" i="33"/>
  <c r="J1" i="33" s="1"/>
  <c r="L14" i="36" l="1"/>
  <c r="M14" i="36" s="1"/>
  <c r="N14" i="36" s="1"/>
  <c r="M15" i="36"/>
  <c r="N15" i="36" s="1"/>
  <c r="M15" i="26"/>
  <c r="N15" i="26" s="1"/>
  <c r="L10" i="36"/>
  <c r="K10" i="36" s="1"/>
  <c r="L5" i="36"/>
  <c r="M26" i="36"/>
  <c r="N26" i="36" s="1"/>
  <c r="M18" i="36"/>
  <c r="N18" i="36" s="1"/>
  <c r="M27" i="36"/>
  <c r="N27" i="36" s="1"/>
  <c r="M19" i="36"/>
  <c r="N19" i="36" s="1"/>
  <c r="M28" i="36"/>
  <c r="N28" i="36" s="1"/>
  <c r="M20" i="36"/>
  <c r="N20" i="36" s="1"/>
  <c r="M21" i="36"/>
  <c r="N21" i="36" s="1"/>
  <c r="M17" i="36"/>
  <c r="N17" i="36" s="1"/>
  <c r="M29" i="36"/>
  <c r="N29" i="36" s="1"/>
  <c r="M23" i="36"/>
  <c r="N23" i="36" s="1"/>
  <c r="M24" i="36"/>
  <c r="N24" i="36" s="1"/>
  <c r="M16" i="36"/>
  <c r="N16" i="36" s="1"/>
  <c r="M25" i="36"/>
  <c r="N25" i="36" s="1"/>
  <c r="L19" i="26"/>
  <c r="M19" i="26" s="1"/>
  <c r="N19" i="26" s="1"/>
  <c r="L17" i="26"/>
  <c r="M17" i="26" s="1"/>
  <c r="N17" i="26" s="1"/>
  <c r="L18" i="26"/>
  <c r="M18" i="26" s="1"/>
  <c r="N18" i="26" s="1"/>
  <c r="H21" i="26"/>
  <c r="I21" i="26" s="1"/>
  <c r="L21" i="26" s="1"/>
  <c r="L16" i="26"/>
  <c r="H20" i="26"/>
  <c r="I20" i="26" s="1"/>
  <c r="L20" i="26" s="1"/>
  <c r="M12" i="33"/>
  <c r="K136" i="33"/>
  <c r="M17" i="35"/>
  <c r="K121" i="35"/>
  <c r="I6" i="35"/>
  <c r="L6" i="35" s="1"/>
  <c r="M6" i="35" s="1"/>
  <c r="M12" i="35" s="1"/>
  <c r="M17" i="33"/>
  <c r="M23" i="33" s="1"/>
  <c r="K5" i="36" l="1"/>
  <c r="M5" i="36"/>
  <c r="N5" i="36" s="1"/>
  <c r="M10" i="36"/>
  <c r="N10" i="36" s="1"/>
  <c r="M20" i="26"/>
  <c r="N20" i="26" s="1"/>
  <c r="M21" i="26"/>
  <c r="N21" i="26" s="1"/>
  <c r="M16" i="26"/>
  <c r="N16" i="26" s="1"/>
  <c r="L34" i="33"/>
  <c r="G11" i="32" l="1"/>
  <c r="I11" i="32" s="1"/>
  <c r="L11" i="32" s="1"/>
  <c r="M11" i="32" s="1"/>
  <c r="G131" i="32"/>
  <c r="M126" i="32"/>
  <c r="M129" i="32" s="1"/>
  <c r="M133" i="32" s="1"/>
  <c r="K125" i="32"/>
  <c r="G16" i="32"/>
  <c r="I16" i="32" s="1"/>
  <c r="L16" i="32" s="1"/>
  <c r="M16" i="32" s="1"/>
  <c r="G15" i="32"/>
  <c r="I15" i="32" s="1"/>
  <c r="L15" i="32" s="1"/>
  <c r="M15" i="32" s="1"/>
  <c r="G14" i="32"/>
  <c r="I14" i="32" s="1"/>
  <c r="L14" i="32" s="1"/>
  <c r="M14" i="32" s="1"/>
  <c r="G10" i="32"/>
  <c r="I10" i="32" s="1"/>
  <c r="L10" i="32" s="1"/>
  <c r="M10" i="32" s="1"/>
  <c r="G9" i="32"/>
  <c r="I9" i="32" s="1"/>
  <c r="L9" i="32" s="1"/>
  <c r="M9" i="32" s="1"/>
  <c r="G8" i="32"/>
  <c r="I8" i="32" s="1"/>
  <c r="L8" i="32" s="1"/>
  <c r="M8" i="32" s="1"/>
  <c r="G7" i="32"/>
  <c r="I7" i="32" s="1"/>
  <c r="L7" i="32" s="1"/>
  <c r="M7" i="32" s="1"/>
  <c r="G6" i="32"/>
  <c r="I6" i="32" s="1"/>
  <c r="L6" i="32" s="1"/>
  <c r="M6" i="32" s="1"/>
  <c r="G5" i="32"/>
  <c r="I5" i="32" s="1"/>
  <c r="L5" i="32" s="1"/>
  <c r="M5" i="32" s="1"/>
  <c r="G4" i="32"/>
  <c r="I4" i="32" s="1"/>
  <c r="L4" i="32" s="1"/>
  <c r="M4" i="32" s="1"/>
  <c r="I1" i="32"/>
  <c r="J1" i="32" s="1"/>
  <c r="G8" i="31"/>
  <c r="I8" i="31" s="1"/>
  <c r="G9" i="31"/>
  <c r="I9" i="31" s="1"/>
  <c r="G10" i="31"/>
  <c r="G11" i="31"/>
  <c r="I11" i="31" s="1"/>
  <c r="G12" i="31"/>
  <c r="I12" i="31" s="1"/>
  <c r="K37" i="31"/>
  <c r="G147" i="31"/>
  <c r="M142" i="31"/>
  <c r="M145" i="31" s="1"/>
  <c r="M149" i="31" s="1"/>
  <c r="K141" i="31"/>
  <c r="N33" i="31"/>
  <c r="G33" i="31"/>
  <c r="I33" i="31" s="1"/>
  <c r="L33" i="31" s="1"/>
  <c r="N32" i="31"/>
  <c r="G32" i="31"/>
  <c r="I32" i="31" s="1"/>
  <c r="L32" i="31" s="1"/>
  <c r="N31" i="31"/>
  <c r="G31" i="31"/>
  <c r="I31" i="31" s="1"/>
  <c r="L31" i="31" s="1"/>
  <c r="N30" i="31"/>
  <c r="G30" i="31"/>
  <c r="I30" i="31" s="1"/>
  <c r="L30" i="31" s="1"/>
  <c r="M30" i="31" s="1"/>
  <c r="G27" i="31"/>
  <c r="I27" i="31" s="1"/>
  <c r="L27" i="31" s="1"/>
  <c r="M27" i="31" s="1"/>
  <c r="G26" i="31"/>
  <c r="I26" i="31" s="1"/>
  <c r="L26" i="31" s="1"/>
  <c r="M26" i="31" s="1"/>
  <c r="G25" i="31"/>
  <c r="I25" i="31" s="1"/>
  <c r="L25" i="31" s="1"/>
  <c r="M25" i="31" s="1"/>
  <c r="G24" i="31"/>
  <c r="I24" i="31" s="1"/>
  <c r="L24" i="31" s="1"/>
  <c r="M24" i="31" s="1"/>
  <c r="G23" i="31"/>
  <c r="I23" i="31" s="1"/>
  <c r="L23" i="31" s="1"/>
  <c r="M23" i="31" s="1"/>
  <c r="N18" i="31"/>
  <c r="G18" i="31"/>
  <c r="I18" i="31" s="1"/>
  <c r="L18" i="31" s="1"/>
  <c r="N17" i="31"/>
  <c r="G17" i="31"/>
  <c r="I17" i="31" s="1"/>
  <c r="L17" i="31" s="1"/>
  <c r="N16" i="31"/>
  <c r="G16" i="31"/>
  <c r="I16" i="31" s="1"/>
  <c r="L16" i="31" s="1"/>
  <c r="N15" i="31"/>
  <c r="G15" i="31"/>
  <c r="I15" i="31" s="1"/>
  <c r="L15" i="31" s="1"/>
  <c r="M15" i="31" s="1"/>
  <c r="G13" i="31"/>
  <c r="I13" i="31" s="1"/>
  <c r="L13" i="31" s="1"/>
  <c r="M13" i="31" s="1"/>
  <c r="G7" i="31"/>
  <c r="I7" i="31" s="1"/>
  <c r="L7" i="31" s="1"/>
  <c r="M7" i="31" s="1"/>
  <c r="G6" i="31"/>
  <c r="I6" i="31" s="1"/>
  <c r="L6" i="31" s="1"/>
  <c r="M6" i="31" s="1"/>
  <c r="G5" i="31"/>
  <c r="I5" i="31" s="1"/>
  <c r="L5" i="31" s="1"/>
  <c r="M5" i="31" s="1"/>
  <c r="G4" i="31"/>
  <c r="I4" i="31" s="1"/>
  <c r="L4" i="31" s="1"/>
  <c r="M4" i="31" s="1"/>
  <c r="I1" i="31"/>
  <c r="J1" i="31" s="1"/>
  <c r="I10" i="31" l="1"/>
  <c r="L10" i="31" s="1"/>
  <c r="M10" i="31" s="1"/>
  <c r="M12" i="32"/>
  <c r="M17" i="32" s="1"/>
  <c r="K136" i="32"/>
  <c r="L9" i="31"/>
  <c r="M9" i="31" s="1"/>
  <c r="L8" i="31"/>
  <c r="M8" i="31" s="1"/>
  <c r="L12" i="31"/>
  <c r="M12" i="31" s="1"/>
  <c r="L11" i="31"/>
  <c r="M11" i="31" s="1"/>
  <c r="K152" i="31"/>
  <c r="M32" i="31"/>
  <c r="L35" i="31" s="1"/>
  <c r="K35" i="31"/>
  <c r="N20" i="31"/>
  <c r="M16" i="31"/>
  <c r="O20" i="31" s="1"/>
  <c r="G20" i="31"/>
  <c r="M18" i="31"/>
  <c r="I20" i="31" s="1"/>
  <c r="N35" i="31"/>
  <c r="M31" i="31"/>
  <c r="O35" i="31" s="1"/>
  <c r="G35" i="31"/>
  <c r="M33" i="31"/>
  <c r="I35" i="31" s="1"/>
  <c r="M17" i="31"/>
  <c r="L20" i="31" s="1"/>
  <c r="K20" i="31"/>
  <c r="G2" i="30" l="1"/>
  <c r="F2" i="30"/>
  <c r="J2" i="30" s="1"/>
  <c r="B2" i="30"/>
  <c r="D2" i="30" s="1"/>
  <c r="B8" i="30" s="1"/>
  <c r="K2" i="30" l="1"/>
  <c r="B5" i="30" s="1"/>
  <c r="B6" i="30" s="1"/>
  <c r="L18" i="29" l="1"/>
  <c r="H65" i="29"/>
  <c r="I1" i="26" l="1"/>
  <c r="M1048465" i="26" l="1"/>
  <c r="M1048571" i="26"/>
  <c r="L1048569" i="26"/>
  <c r="L1048570" i="26" s="1"/>
  <c r="N38" i="28"/>
  <c r="L38" i="28"/>
  <c r="J38" i="28"/>
  <c r="H38" i="28"/>
  <c r="R38" i="28" s="1"/>
  <c r="N37" i="28"/>
  <c r="L37" i="28"/>
  <c r="J37" i="28"/>
  <c r="H37" i="28"/>
  <c r="N36" i="28"/>
  <c r="L36" i="28"/>
  <c r="J36" i="28"/>
  <c r="H36" i="28"/>
  <c r="T36" i="28" s="1"/>
  <c r="N35" i="28"/>
  <c r="L35" i="28"/>
  <c r="J35" i="28"/>
  <c r="H35" i="28"/>
  <c r="X35" i="28" s="1"/>
  <c r="N34" i="28"/>
  <c r="L34" i="28"/>
  <c r="J34" i="28"/>
  <c r="H34" i="28"/>
  <c r="T34" i="28" s="1"/>
  <c r="N33" i="28"/>
  <c r="L33" i="28"/>
  <c r="J33" i="28"/>
  <c r="H33" i="28"/>
  <c r="V33" i="28" s="1"/>
  <c r="N32" i="28"/>
  <c r="L32" i="28"/>
  <c r="J32" i="28"/>
  <c r="H32" i="28"/>
  <c r="P32" i="28" s="1"/>
  <c r="N31" i="28"/>
  <c r="L31" i="28"/>
  <c r="J31" i="28"/>
  <c r="H31" i="28"/>
  <c r="Z31" i="28" s="1"/>
  <c r="N30" i="28"/>
  <c r="L30" i="28"/>
  <c r="J30" i="28"/>
  <c r="H30" i="28"/>
  <c r="R30" i="28" s="1"/>
  <c r="N29" i="28"/>
  <c r="L29" i="28"/>
  <c r="J29" i="28"/>
  <c r="H29" i="28"/>
  <c r="R29" i="28" s="1"/>
  <c r="N28" i="28"/>
  <c r="L28" i="28"/>
  <c r="J28" i="28"/>
  <c r="H28" i="28"/>
  <c r="T28" i="28" s="1"/>
  <c r="N27" i="28"/>
  <c r="L27" i="28"/>
  <c r="J27" i="28"/>
  <c r="H27" i="28"/>
  <c r="R27" i="28" s="1"/>
  <c r="N26" i="28"/>
  <c r="L26" i="28"/>
  <c r="J26" i="28"/>
  <c r="H26" i="28"/>
  <c r="V26" i="28" s="1"/>
  <c r="N25" i="28"/>
  <c r="L25" i="28"/>
  <c r="J25" i="28"/>
  <c r="H25" i="28"/>
  <c r="X25" i="28" s="1"/>
  <c r="N24" i="28"/>
  <c r="L24" i="28"/>
  <c r="J24" i="28"/>
  <c r="H24" i="28"/>
  <c r="X24" i="28" s="1"/>
  <c r="N23" i="28"/>
  <c r="L23" i="28"/>
  <c r="J23" i="28"/>
  <c r="H23" i="28"/>
  <c r="R23" i="28" s="1"/>
  <c r="N22" i="28"/>
  <c r="L22" i="28"/>
  <c r="J22" i="28"/>
  <c r="H22" i="28"/>
  <c r="R22" i="28" s="1"/>
  <c r="N21" i="28"/>
  <c r="L21" i="28"/>
  <c r="J21" i="28"/>
  <c r="H21" i="28"/>
  <c r="R21" i="28" s="1"/>
  <c r="N20" i="28"/>
  <c r="L20" i="28"/>
  <c r="J20" i="28"/>
  <c r="H20" i="28"/>
  <c r="T20" i="28" s="1"/>
  <c r="N19" i="28"/>
  <c r="L19" i="28"/>
  <c r="J19" i="28"/>
  <c r="H19" i="28"/>
  <c r="X19" i="28" s="1"/>
  <c r="N18" i="28"/>
  <c r="L18" i="28"/>
  <c r="J18" i="28"/>
  <c r="H18" i="28"/>
  <c r="T18" i="28" s="1"/>
  <c r="N17" i="28"/>
  <c r="L17" i="28"/>
  <c r="J17" i="28"/>
  <c r="H17" i="28"/>
  <c r="V17" i="28" s="1"/>
  <c r="N16" i="28"/>
  <c r="L16" i="28"/>
  <c r="J16" i="28"/>
  <c r="H16" i="28"/>
  <c r="T16" i="28" s="1"/>
  <c r="N15" i="28"/>
  <c r="L15" i="28"/>
  <c r="J15" i="28"/>
  <c r="H15" i="28"/>
  <c r="Z15" i="28" s="1"/>
  <c r="N14" i="28"/>
  <c r="L14" i="28"/>
  <c r="J14" i="28"/>
  <c r="H14" i="28"/>
  <c r="R14" i="28" s="1"/>
  <c r="N13" i="28"/>
  <c r="L13" i="28"/>
  <c r="J13" i="28"/>
  <c r="H13" i="28"/>
  <c r="P13" i="28" s="1"/>
  <c r="N12" i="28"/>
  <c r="L12" i="28"/>
  <c r="J12" i="28"/>
  <c r="H12" i="28"/>
  <c r="T12" i="28" s="1"/>
  <c r="N11" i="28"/>
  <c r="L11" i="28"/>
  <c r="J11" i="28"/>
  <c r="H11" i="28"/>
  <c r="Z11" i="28" s="1"/>
  <c r="N10" i="28"/>
  <c r="L10" i="28"/>
  <c r="J10" i="28"/>
  <c r="H10" i="28"/>
  <c r="R10" i="28" s="1"/>
  <c r="N9" i="28"/>
  <c r="L9" i="28"/>
  <c r="J9" i="28"/>
  <c r="H9" i="28"/>
  <c r="X9" i="28" s="1"/>
  <c r="N8" i="28"/>
  <c r="L8" i="28"/>
  <c r="J8" i="28"/>
  <c r="H8" i="28"/>
  <c r="P8" i="28" s="1"/>
  <c r="N7" i="28"/>
  <c r="L7" i="28"/>
  <c r="J7" i="28"/>
  <c r="H7" i="28"/>
  <c r="X7" i="28" s="1"/>
  <c r="N6" i="28"/>
  <c r="L6" i="28"/>
  <c r="J6" i="28"/>
  <c r="H6" i="28"/>
  <c r="Z6" i="28" s="1"/>
  <c r="N5" i="28"/>
  <c r="L5" i="28"/>
  <c r="J5" i="28"/>
  <c r="H5" i="28"/>
  <c r="Z5" i="28" s="1"/>
  <c r="N4" i="28"/>
  <c r="L4" i="28"/>
  <c r="J4" i="28"/>
  <c r="H4" i="28"/>
  <c r="P4" i="28" s="1"/>
  <c r="N3" i="28"/>
  <c r="L3" i="28"/>
  <c r="J3" i="28"/>
  <c r="H3" i="28"/>
  <c r="X3" i="28" s="1"/>
  <c r="R13" i="28"/>
  <c r="Z21" i="28"/>
  <c r="Z25" i="28"/>
  <c r="R25" i="28"/>
  <c r="Z27" i="28"/>
  <c r="V27" i="28"/>
  <c r="Z29" i="28"/>
  <c r="V29" i="28"/>
  <c r="P29" i="28"/>
  <c r="X29" i="28"/>
  <c r="X31" i="28"/>
  <c r="P33" i="28"/>
  <c r="Z35" i="28"/>
  <c r="V35" i="28"/>
  <c r="R35" i="28"/>
  <c r="Z37" i="28"/>
  <c r="V37" i="28"/>
  <c r="R37" i="28"/>
  <c r="P37" i="28"/>
  <c r="X37" i="28"/>
  <c r="T3" i="28"/>
  <c r="T13" i="28"/>
  <c r="V18" i="28"/>
  <c r="X20" i="28"/>
  <c r="T25" i="28"/>
  <c r="T27" i="28"/>
  <c r="T29" i="28"/>
  <c r="X34" i="28"/>
  <c r="T35" i="28"/>
  <c r="T37" i="28"/>
  <c r="Z38" i="28"/>
  <c r="X38" i="28"/>
  <c r="G29" i="26"/>
  <c r="I29" i="26" s="1"/>
  <c r="L29" i="26" s="1"/>
  <c r="M29" i="26" s="1"/>
  <c r="G28" i="26"/>
  <c r="H28" i="26" s="1"/>
  <c r="I28" i="26" s="1"/>
  <c r="L28" i="26" s="1"/>
  <c r="M28" i="26" s="1"/>
  <c r="G10" i="26"/>
  <c r="G5" i="26"/>
  <c r="N28" i="22"/>
  <c r="G28" i="22"/>
  <c r="I28" i="22" s="1"/>
  <c r="L28" i="22" s="1"/>
  <c r="N27" i="22"/>
  <c r="G27" i="22"/>
  <c r="I27" i="22" s="1"/>
  <c r="L27" i="22" s="1"/>
  <c r="N26" i="22"/>
  <c r="G26" i="22"/>
  <c r="I26" i="22" s="1"/>
  <c r="L26" i="22" s="1"/>
  <c r="N25" i="22"/>
  <c r="G25" i="22"/>
  <c r="I25" i="22" s="1"/>
  <c r="L25" i="22" s="1"/>
  <c r="M25" i="22" s="1"/>
  <c r="N11" i="22"/>
  <c r="N12" i="22"/>
  <c r="N13" i="22"/>
  <c r="N10" i="22"/>
  <c r="G11" i="22"/>
  <c r="I11" i="22" s="1"/>
  <c r="L11" i="22" s="1"/>
  <c r="G10" i="22"/>
  <c r="I10" i="22" s="1"/>
  <c r="L10" i="22" s="1"/>
  <c r="M10" i="22" s="1"/>
  <c r="G142" i="22"/>
  <c r="M137" i="22"/>
  <c r="M140" i="22" s="1"/>
  <c r="M144" i="22" s="1"/>
  <c r="K136" i="22"/>
  <c r="G22" i="22"/>
  <c r="I22" i="22" s="1"/>
  <c r="L22" i="22" s="1"/>
  <c r="M22" i="22" s="1"/>
  <c r="G21" i="22"/>
  <c r="I21" i="22" s="1"/>
  <c r="L21" i="22" s="1"/>
  <c r="M21" i="22" s="1"/>
  <c r="G20" i="22"/>
  <c r="I20" i="22" s="1"/>
  <c r="L20" i="22" s="1"/>
  <c r="M20" i="22" s="1"/>
  <c r="G19" i="22"/>
  <c r="I19" i="22" s="1"/>
  <c r="L19" i="22" s="1"/>
  <c r="M19" i="22" s="1"/>
  <c r="G18" i="22"/>
  <c r="I18" i="22" s="1"/>
  <c r="L18" i="22" s="1"/>
  <c r="M18" i="22" s="1"/>
  <c r="G13" i="22"/>
  <c r="I13" i="22" s="1"/>
  <c r="L13" i="22" s="1"/>
  <c r="G12" i="22"/>
  <c r="I12" i="22" s="1"/>
  <c r="L12" i="22" s="1"/>
  <c r="G8" i="22"/>
  <c r="I8" i="22" s="1"/>
  <c r="L8" i="22" s="1"/>
  <c r="M8" i="22" s="1"/>
  <c r="G7" i="22"/>
  <c r="I7" i="22" s="1"/>
  <c r="L7" i="22" s="1"/>
  <c r="M7" i="22" s="1"/>
  <c r="G6" i="22"/>
  <c r="I6" i="22" s="1"/>
  <c r="L6" i="22" s="1"/>
  <c r="M6" i="22" s="1"/>
  <c r="G5" i="22"/>
  <c r="I5" i="22" s="1"/>
  <c r="L5" i="22" s="1"/>
  <c r="M5" i="22" s="1"/>
  <c r="G4" i="22"/>
  <c r="I4" i="22" s="1"/>
  <c r="L4" i="22" s="1"/>
  <c r="M4" i="22" s="1"/>
  <c r="I1" i="22"/>
  <c r="J1" i="22" s="1"/>
  <c r="G23" i="20"/>
  <c r="I23" i="20" s="1"/>
  <c r="G24" i="20"/>
  <c r="G25" i="20"/>
  <c r="I25" i="20" s="1"/>
  <c r="G26" i="20"/>
  <c r="I26" i="20" s="1"/>
  <c r="G22" i="20"/>
  <c r="G5" i="20"/>
  <c r="I5" i="20" s="1"/>
  <c r="G11" i="20"/>
  <c r="I11" i="20" s="1"/>
  <c r="L11" i="20" s="1"/>
  <c r="G13" i="20"/>
  <c r="I13" i="20" s="1"/>
  <c r="L13" i="20" s="1"/>
  <c r="G7" i="20"/>
  <c r="I7" i="20" s="1"/>
  <c r="L7" i="20" s="1"/>
  <c r="G8" i="20"/>
  <c r="I8" i="20" s="1"/>
  <c r="L8" i="20" s="1"/>
  <c r="G9" i="20"/>
  <c r="I9" i="20" s="1"/>
  <c r="L9" i="20" s="1"/>
  <c r="G10" i="20"/>
  <c r="I10" i="20" s="1"/>
  <c r="L10" i="20" s="1"/>
  <c r="G12" i="20"/>
  <c r="I12" i="20" s="1"/>
  <c r="L12" i="20" s="1"/>
  <c r="G6" i="20"/>
  <c r="I6" i="20" s="1"/>
  <c r="L6" i="20" s="1"/>
  <c r="I2" i="20"/>
  <c r="J2" i="20" s="1"/>
  <c r="G149" i="20"/>
  <c r="L144" i="20"/>
  <c r="L147" i="20" s="1"/>
  <c r="L151" i="20" s="1"/>
  <c r="K143" i="20"/>
  <c r="I24" i="20"/>
  <c r="I22" i="20"/>
  <c r="L20" i="20"/>
  <c r="J19" i="20"/>
  <c r="L18" i="20"/>
  <c r="K18" i="20"/>
  <c r="L16" i="20"/>
  <c r="I10" i="26" l="1"/>
  <c r="L10" i="26"/>
  <c r="T32" i="28"/>
  <c r="Z14" i="28"/>
  <c r="P10" i="28"/>
  <c r="V21" i="28"/>
  <c r="P17" i="28"/>
  <c r="R11" i="28"/>
  <c r="K147" i="22"/>
  <c r="Z26" i="28"/>
  <c r="T6" i="28"/>
  <c r="R6" i="28"/>
  <c r="R20" i="28"/>
  <c r="X16" i="28"/>
  <c r="X12" i="28"/>
  <c r="P6" i="28"/>
  <c r="P25" i="28"/>
  <c r="R19" i="28"/>
  <c r="V3" i="28"/>
  <c r="Z18" i="28"/>
  <c r="R24" i="28"/>
  <c r="V20" i="28"/>
  <c r="P16" i="28"/>
  <c r="P12" i="28"/>
  <c r="P5" i="28"/>
  <c r="V6" i="28"/>
  <c r="V24" i="28"/>
  <c r="Z20" i="28"/>
  <c r="R16" i="28"/>
  <c r="R12" i="28"/>
  <c r="R32" i="28"/>
  <c r="Z24" i="28"/>
  <c r="X18" i="28"/>
  <c r="V16" i="28"/>
  <c r="Z12" i="28"/>
  <c r="P3" i="28"/>
  <c r="X27" i="28"/>
  <c r="X23" i="28"/>
  <c r="Z13" i="28"/>
  <c r="V32" i="28"/>
  <c r="Z22" i="28"/>
  <c r="P18" i="28"/>
  <c r="Z16" i="28"/>
  <c r="T11" i="28"/>
  <c r="P27" i="28"/>
  <c r="X21" i="28"/>
  <c r="X11" i="28"/>
  <c r="P20" i="28"/>
  <c r="T21" i="28"/>
  <c r="R18" i="28"/>
  <c r="X14" i="28"/>
  <c r="T10" i="28"/>
  <c r="P21" i="28"/>
  <c r="P11" i="28"/>
  <c r="P34" i="28"/>
  <c r="Z32" i="28"/>
  <c r="T9" i="28"/>
  <c r="V25" i="28"/>
  <c r="Z9" i="28"/>
  <c r="P9" i="28"/>
  <c r="X36" i="28"/>
  <c r="R34" i="28"/>
  <c r="R9" i="28"/>
  <c r="P36" i="28"/>
  <c r="V34" i="28"/>
  <c r="V12" i="28"/>
  <c r="T7" i="28"/>
  <c r="X15" i="28"/>
  <c r="V11" i="28"/>
  <c r="Z7" i="28"/>
  <c r="X6" i="28"/>
  <c r="R36" i="28"/>
  <c r="Z34" i="28"/>
  <c r="X26" i="28"/>
  <c r="P7" i="28"/>
  <c r="X13" i="28"/>
  <c r="R7" i="28"/>
  <c r="Z10" i="28"/>
  <c r="V36" i="28"/>
  <c r="X32" i="28"/>
  <c r="P26" i="28"/>
  <c r="V7" i="28"/>
  <c r="T24" i="28"/>
  <c r="Z36" i="28"/>
  <c r="R26" i="28"/>
  <c r="X10" i="28"/>
  <c r="V13" i="28"/>
  <c r="X5" i="28"/>
  <c r="T26" i="28"/>
  <c r="X28" i="28"/>
  <c r="P28" i="28"/>
  <c r="R28" i="28"/>
  <c r="V9" i="28"/>
  <c r="K154" i="20"/>
  <c r="I28" i="20"/>
  <c r="I29" i="20" s="1"/>
  <c r="J30" i="20" s="1"/>
  <c r="V28" i="28"/>
  <c r="Z28" i="28"/>
  <c r="Z3" i="28"/>
  <c r="X30" i="28"/>
  <c r="V19" i="28"/>
  <c r="R3" i="28"/>
  <c r="Z30" i="28"/>
  <c r="Z23" i="28"/>
  <c r="Z19" i="28"/>
  <c r="R4" i="28"/>
  <c r="V10" i="28"/>
  <c r="N30" i="22"/>
  <c r="M26" i="22"/>
  <c r="O30" i="22" s="1"/>
  <c r="L5" i="20"/>
  <c r="I15" i="20"/>
  <c r="I16" i="20" s="1"/>
  <c r="J17" i="20" s="1"/>
  <c r="N15" i="22"/>
  <c r="M11" i="22"/>
  <c r="O15" i="22" s="1"/>
  <c r="M27" i="22"/>
  <c r="L30" i="22" s="1"/>
  <c r="K30" i="22"/>
  <c r="M13" i="22"/>
  <c r="I15" i="22" s="1"/>
  <c r="G15" i="22"/>
  <c r="K15" i="22"/>
  <c r="M12" i="22"/>
  <c r="L15" i="22" s="1"/>
  <c r="G30" i="22"/>
  <c r="M28" i="22"/>
  <c r="I30" i="22" s="1"/>
  <c r="V38" i="28"/>
  <c r="V30" i="28"/>
  <c r="P24" i="28"/>
  <c r="V22" i="28"/>
  <c r="T19" i="28"/>
  <c r="V14" i="28"/>
  <c r="P35" i="28"/>
  <c r="Z33" i="28"/>
  <c r="V23" i="28"/>
  <c r="P19" i="28"/>
  <c r="Z17" i="28"/>
  <c r="Z4" i="28"/>
  <c r="R5" i="28"/>
  <c r="X8" i="28"/>
  <c r="T22" i="28"/>
  <c r="T38" i="28"/>
  <c r="P31" i="28"/>
  <c r="P15" i="28"/>
  <c r="Z8" i="28"/>
  <c r="R31" i="28"/>
  <c r="R15" i="28"/>
  <c r="R8" i="28"/>
  <c r="T31" i="28"/>
  <c r="T23" i="28"/>
  <c r="T15" i="28"/>
  <c r="T5" i="28"/>
  <c r="X33" i="28"/>
  <c r="V31" i="28"/>
  <c r="X17" i="28"/>
  <c r="V15" i="28"/>
  <c r="X4" i="28"/>
  <c r="T14" i="28"/>
  <c r="T30" i="28"/>
  <c r="X22" i="28"/>
  <c r="V8" i="28"/>
  <c r="P38" i="28"/>
  <c r="T33" i="28"/>
  <c r="P30" i="28"/>
  <c r="P22" i="28"/>
  <c r="T17" i="28"/>
  <c r="P14" i="28"/>
  <c r="T8" i="28"/>
  <c r="T4" i="28"/>
  <c r="R33" i="28"/>
  <c r="P23" i="28"/>
  <c r="R17" i="28"/>
  <c r="V4" i="28"/>
  <c r="V5" i="28"/>
  <c r="I5" i="26"/>
  <c r="N28" i="26"/>
  <c r="N29" i="26"/>
  <c r="M10" i="26" l="1"/>
  <c r="N10" i="26"/>
  <c r="L5" i="26"/>
  <c r="K5" i="26" s="1"/>
  <c r="M5" i="26" l="1"/>
  <c r="N5" i="26" s="1"/>
  <c r="G14" i="26"/>
  <c r="H14" i="26" s="1"/>
  <c r="I14" i="26" s="1"/>
  <c r="G23" i="26" l="1"/>
  <c r="H23" i="26" s="1"/>
  <c r="I23" i="26" s="1"/>
  <c r="L23" i="26" s="1"/>
  <c r="M23" i="26" s="1"/>
  <c r="N23" i="26" s="1"/>
  <c r="G24" i="26"/>
  <c r="H24" i="26" s="1"/>
  <c r="I24" i="26" s="1"/>
  <c r="L24" i="26" s="1"/>
  <c r="G25" i="26"/>
  <c r="H25" i="26" s="1"/>
  <c r="I25" i="26" s="1"/>
  <c r="L25" i="26" s="1"/>
  <c r="G26" i="26"/>
  <c r="H26" i="26" s="1"/>
  <c r="I26" i="26" s="1"/>
  <c r="L26" i="26" s="1"/>
  <c r="G27" i="26"/>
  <c r="H27" i="26" s="1"/>
  <c r="I27" i="26" s="1"/>
  <c r="L27" i="26" s="1"/>
  <c r="M27" i="26" s="1"/>
  <c r="N27" i="26" s="1"/>
  <c r="L14" i="26" l="1"/>
  <c r="M26" i="26"/>
  <c r="N26" i="26" s="1"/>
  <c r="M25" i="26"/>
  <c r="N25" i="26" s="1"/>
  <c r="M24" i="26"/>
  <c r="N24" i="26" s="1"/>
  <c r="M14" i="26" l="1"/>
  <c r="N14" i="26" s="1"/>
</calcChain>
</file>

<file path=xl/sharedStrings.xml><?xml version="1.0" encoding="utf-8"?>
<sst xmlns="http://schemas.openxmlformats.org/spreadsheetml/2006/main" count="1589" uniqueCount="254">
  <si>
    <t>%G</t>
  </si>
  <si>
    <t>Precio con IGV</t>
  </si>
  <si>
    <t>Precio SIN IGV</t>
  </si>
  <si>
    <t>T.C.</t>
  </si>
  <si>
    <t>item</t>
  </si>
  <si>
    <t>Componente</t>
  </si>
  <si>
    <t>Carácter. Adicionales</t>
  </si>
  <si>
    <t>Canti</t>
  </si>
  <si>
    <t>COSTO $</t>
  </si>
  <si>
    <t>Dsct.</t>
  </si>
  <si>
    <t>Pr.+IGV S/.</t>
  </si>
  <si>
    <t>MAYORISTAS</t>
  </si>
  <si>
    <t>Precios NETOS  (SIN IGV) X UNIDAD</t>
  </si>
  <si>
    <t>FLETE</t>
  </si>
  <si>
    <t>GAN</t>
  </si>
  <si>
    <t>T. SFAC</t>
  </si>
  <si>
    <t>TU. FAC</t>
  </si>
  <si>
    <t>FINAL</t>
  </si>
  <si>
    <t>DELTRON</t>
  </si>
  <si>
    <t>MAXI</t>
  </si>
  <si>
    <t>INGR</t>
  </si>
  <si>
    <t>INTC</t>
  </si>
  <si>
    <t>PCLINK</t>
  </si>
  <si>
    <t>COMDIS</t>
  </si>
  <si>
    <t>MTI</t>
  </si>
  <si>
    <t>DISTEC</t>
  </si>
  <si>
    <t>IGARA</t>
  </si>
  <si>
    <t>OVALO</t>
  </si>
  <si>
    <t>LAKTR</t>
  </si>
  <si>
    <t>COLKER</t>
  </si>
  <si>
    <t>NEWVIS</t>
  </si>
  <si>
    <t>AKOSTO</t>
  </si>
  <si>
    <t>LDC</t>
  </si>
  <si>
    <t>SUPTEC</t>
  </si>
  <si>
    <t>IMPA</t>
  </si>
  <si>
    <t>CARMEN</t>
  </si>
  <si>
    <t>CHICLAYO</t>
  </si>
  <si>
    <t>BASICO</t>
  </si>
  <si>
    <t>Procesador</t>
  </si>
  <si>
    <t>Intel Core i5-11400, 2.60 / 4.40 GHz, 12MB Caché L3, LGA1200, 65W, 14nm, 6-Core</t>
  </si>
  <si>
    <t>https://www.deltron.com.pe/modulos/productos/items/postsql.php?item_number=CPITG5925</t>
  </si>
  <si>
    <t>Placa Madre</t>
  </si>
  <si>
    <t>Gigabyte  B560M DS3H S/V/L DDR4</t>
  </si>
  <si>
    <t>RAM</t>
  </si>
  <si>
    <t>RAM 8G KINGSTON RENEGADE 3600MHZ</t>
  </si>
  <si>
    <t>DISCO SSD</t>
  </si>
  <si>
    <t>Kingston M.2 NV1 NVMe PCIe  500GB  ESCRITURA 1700 MB/S lectura 2100 MB/s</t>
  </si>
  <si>
    <t>DISCO HHD</t>
  </si>
  <si>
    <t>Toshiba P300, 1TB, SATA 6.0 Gb/s, 7200 RPM, 3.5".</t>
  </si>
  <si>
    <t>Case</t>
  </si>
  <si>
    <t>Case Thermaltake V150 Tempered Glass Micro Case, negro</t>
  </si>
  <si>
    <t>FUENTE</t>
  </si>
  <si>
    <t>Gigabyte P750GM, 750W, ATX, 80 PLUS Gold</t>
  </si>
  <si>
    <t xml:space="preserve">PV. </t>
  </si>
  <si>
    <t>T. Video</t>
  </si>
  <si>
    <t xml:space="preserve">GIGABYTE RTX3070 8GB GMG </t>
  </si>
  <si>
    <t xml:space="preserve"> INTEL CORE I3-10100 3.6GHZ,  LGA1200</t>
  </si>
  <si>
    <t>Gigabyte H410M H (rev. 1.0) LGA1200, DDR4, SATA 6.0Gb/s, USB 3.2</t>
  </si>
  <si>
    <t>Kingston KVR26N19S6/4, 4GB, DDR4, 2666 MHz, PC4-21300, DIMM, CL-19, 1.2V</t>
  </si>
  <si>
    <t>Kingston A400, 240GB, SATA 6Gb/s, 2.5", 7mm, TLC. F</t>
  </si>
  <si>
    <t>monitor</t>
  </si>
  <si>
    <t>Teros TE3020N, 19.5" Led, 1600x900, HDMI / VGA / Audio.</t>
  </si>
  <si>
    <t xml:space="preserve"> Teros TE1073N, Mid Tower, ATX, 250W, USB 3.0 / 2.0, </t>
  </si>
  <si>
    <t>estabilizador</t>
  </si>
  <si>
    <t>CDP RU-AVR604I, 600VA/300W, 170-270 VAC.</t>
  </si>
  <si>
    <t>mouse+teclado</t>
  </si>
  <si>
    <t>genius</t>
  </si>
  <si>
    <t>software</t>
  </si>
  <si>
    <t xml:space="preserve">Antivirus Nod 32 </t>
  </si>
  <si>
    <t>office 365</t>
  </si>
  <si>
    <t>windows 10</t>
  </si>
  <si>
    <t>Precio</t>
  </si>
  <si>
    <t>windows 10 HOME</t>
  </si>
  <si>
    <t>PRECIOS NETOS  (SIN IGV) - DELTRON - MAXIMA - INTCOMEX - INGRAM  - OVALO</t>
  </si>
  <si>
    <t>X UNIDAD</t>
  </si>
  <si>
    <t>Cant</t>
  </si>
  <si>
    <t>monto</t>
  </si>
  <si>
    <t>Costo Soles</t>
  </si>
  <si>
    <t>T. FAC</t>
  </si>
  <si>
    <t>Promedio</t>
  </si>
  <si>
    <t>RANGO DE PRECIOS NETOS</t>
  </si>
  <si>
    <t>&lt;------------------------------INGRESAR PRECIO COVID AQUÍ</t>
  </si>
  <si>
    <t>PRECIOS INCLUIDO IGV - IGARASHI - LAK TRADING - IMPACTO - AL COSTO - SUPERTEC</t>
  </si>
  <si>
    <t>Mercado Libre</t>
  </si>
  <si>
    <t>8%clasico</t>
  </si>
  <si>
    <t>11%clasico</t>
  </si>
  <si>
    <t>Linio</t>
  </si>
  <si>
    <t>Ripley</t>
  </si>
  <si>
    <t>Lumingo</t>
  </si>
  <si>
    <t>11%clasico laptp</t>
  </si>
  <si>
    <t>Premiun</t>
  </si>
  <si>
    <t>Producto</t>
  </si>
  <si>
    <t>costo$</t>
  </si>
  <si>
    <t>t.c.</t>
  </si>
  <si>
    <t>Costo Soles.</t>
  </si>
  <si>
    <t>Precio Venta</t>
  </si>
  <si>
    <t>comision</t>
  </si>
  <si>
    <t>tributo</t>
  </si>
  <si>
    <t>costo envío promedio</t>
  </si>
  <si>
    <t>traslado</t>
  </si>
  <si>
    <t>Dcto Total</t>
  </si>
  <si>
    <t>Ganancia</t>
  </si>
  <si>
    <t>monitor teros 29"</t>
  </si>
  <si>
    <t>Ventas x Semana aprox</t>
  </si>
  <si>
    <t>Ganancia semanal</t>
  </si>
  <si>
    <t>Ganancia Mensual</t>
  </si>
  <si>
    <t>Inversión x 20un</t>
  </si>
  <si>
    <t>791,00 PEN</t>
  </si>
  <si>
    <t>Listo para enviar</t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</si>
  <si>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1000434930000</t>
    </r>
  </si>
  <si>
    <t>MC_Procesos</t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</si>
  <si>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1000433852500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</si>
  <si>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1000434936100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</si>
  <si>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1000434936900</t>
    </r>
  </si>
  <si>
    <t>VisaNet_WebService</t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</si>
  <si>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1000434869400</t>
    </r>
  </si>
  <si>
    <t>Quickpay_Lpay</t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</si>
  <si>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41836882/21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</si>
  <si>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41836886/21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</si>
  <si>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WYB104039936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</si>
  <si>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41836894/21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</si>
  <si>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1000434871000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</si>
  <si>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WYB104046304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</si>
  <si>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1000434891600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</si>
  <si>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1000434901900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</si>
  <si>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41836899/21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</si>
  <si>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41836797/21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</si>
  <si>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1000435030200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</si>
  <si>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41840602/21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</si>
  <si>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1000435884900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</si>
  <si>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1000435899900</t>
    </r>
  </si>
  <si>
    <r>
      <t>Imprimir orden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Label WYB104045170</t>
    </r>
  </si>
  <si>
    <t>155,00 PEN</t>
  </si>
  <si>
    <t>Pendiente</t>
  </si>
  <si>
    <r>
      <t>Listo para enviar</t>
    </r>
    <r>
      <rPr>
        <sz val="10"/>
        <color rgb="FF333333"/>
        <rFont val="Arial"/>
        <family val="2"/>
      </rPr>
      <t> </t>
    </r>
    <r>
      <rPr>
        <u/>
        <sz val="10"/>
        <color rgb="FF4E71C0"/>
        <rFont val="Arial"/>
        <family val="2"/>
      </rPr>
      <t>Cancelar</t>
    </r>
  </si>
  <si>
    <t>Imprimir orden</t>
  </si>
  <si>
    <t>PAGADO</t>
  </si>
  <si>
    <t>COMISIONES COBRADAS POR LINIO</t>
  </si>
  <si>
    <t>Categoria</t>
  </si>
  <si>
    <t>subcategoría</t>
  </si>
  <si>
    <t>comisión</t>
  </si>
  <si>
    <t>Portátiles, Laptops, Notebooks, 2en1</t>
  </si>
  <si>
    <t>Componentes de Red</t>
  </si>
  <si>
    <t>Modem</t>
  </si>
  <si>
    <t>Zona Gamer</t>
  </si>
  <si>
    <t>Laptop Gamer</t>
  </si>
  <si>
    <t>PC Escritorio</t>
  </si>
  <si>
    <t xml:space="preserve">monitores, CPU(solo CASE+interno) </t>
  </si>
  <si>
    <t>Adaptador de red</t>
  </si>
  <si>
    <t>PC Gamer</t>
  </si>
  <si>
    <t>All In one, Desktop</t>
  </si>
  <si>
    <t>Antena de red</t>
  </si>
  <si>
    <t>Equipos Gamers</t>
  </si>
  <si>
    <t>Accesorios de computadoras</t>
  </si>
  <si>
    <t>Fundas para Laptops</t>
  </si>
  <si>
    <t>Almacenamiento conectado a la red</t>
  </si>
  <si>
    <t>Juegos de PC</t>
  </si>
  <si>
    <t>Parlantes PC</t>
  </si>
  <si>
    <t>Routers</t>
  </si>
  <si>
    <t>Accesorios Gamers</t>
  </si>
  <si>
    <t>Micrófonos PC</t>
  </si>
  <si>
    <t>Hubs</t>
  </si>
  <si>
    <t>Punto de Venta</t>
  </si>
  <si>
    <t>Cargadores PC</t>
  </si>
  <si>
    <t>Reproductores de Streaming</t>
  </si>
  <si>
    <t>Computadoras Reacondicionadas</t>
  </si>
  <si>
    <t>Audífonos Diadema</t>
  </si>
  <si>
    <t>Puntos de Acceso Wireless</t>
  </si>
  <si>
    <t>Otros Computación</t>
  </si>
  <si>
    <t>Lectores Externos</t>
  </si>
  <si>
    <t>Repetidores</t>
  </si>
  <si>
    <t>Componentes de Computadoras</t>
  </si>
  <si>
    <t>CASE PC</t>
  </si>
  <si>
    <t>Mochilas Laptops</t>
  </si>
  <si>
    <t>Interruptores</t>
  </si>
  <si>
    <t>Procesadores</t>
  </si>
  <si>
    <t>Mouse Kit</t>
  </si>
  <si>
    <t>Servidores  Impresión</t>
  </si>
  <si>
    <t>Tarjetas  sonido</t>
  </si>
  <si>
    <t>Webcams</t>
  </si>
  <si>
    <t>Transceptores de Red</t>
  </si>
  <si>
    <t>Tarjetas Madre</t>
  </si>
  <si>
    <t>Teclados PC</t>
  </si>
  <si>
    <t>Servidores de Dispositivos</t>
  </si>
  <si>
    <t>Memoria RAM</t>
  </si>
  <si>
    <t>Cables y Adaptadores PC</t>
  </si>
  <si>
    <t>Tarjetas de Red</t>
  </si>
  <si>
    <t>Tarjetas Video</t>
  </si>
  <si>
    <t>Reguladores de Voltaje</t>
  </si>
  <si>
    <t>Fuentes de Poder</t>
  </si>
  <si>
    <t>Servidores</t>
  </si>
  <si>
    <t>Torres PC</t>
  </si>
  <si>
    <t>Software</t>
  </si>
  <si>
    <t>Programas</t>
  </si>
  <si>
    <t>Proyección</t>
  </si>
  <si>
    <t>Proyectores</t>
  </si>
  <si>
    <t>Bases PC</t>
  </si>
  <si>
    <t>Sistema Op.</t>
  </si>
  <si>
    <t>Pantallas</t>
  </si>
  <si>
    <t>Media Center</t>
  </si>
  <si>
    <t>Anti-virus</t>
  </si>
  <si>
    <t>Lámparas  Proyección</t>
  </si>
  <si>
    <t>Sistemas de Enfriamiento</t>
  </si>
  <si>
    <t>Almacenamiento, disco duro, usb, etc</t>
  </si>
  <si>
    <t>Soportes  Proyectores</t>
  </si>
  <si>
    <t>Candado para Laptop</t>
  </si>
  <si>
    <t>Impresoras y Scanners(FAX 12%)</t>
  </si>
  <si>
    <t>Lentes de Proyección</t>
  </si>
  <si>
    <t>Otros Accesorios Computadoras</t>
  </si>
  <si>
    <t>Consumibles, cartuchos, tarjetas pvc etc</t>
  </si>
  <si>
    <t>PROD. MÁS PUBLICADOS</t>
  </si>
  <si>
    <t>PROD. +o- PUBLICADOS</t>
  </si>
  <si>
    <t>PROD. MENOS PUBLICADOS</t>
  </si>
  <si>
    <t>Item</t>
  </si>
  <si>
    <t>E</t>
  </si>
  <si>
    <t>Marca</t>
  </si>
  <si>
    <t>FACEBOOK</t>
  </si>
  <si>
    <t>ONE NOTE</t>
  </si>
  <si>
    <t>OLX</t>
  </si>
  <si>
    <t>MERCADO L.</t>
  </si>
  <si>
    <t>Lineo</t>
  </si>
  <si>
    <t>Tienda</t>
  </si>
  <si>
    <t>Market</t>
  </si>
  <si>
    <t>NOTE</t>
  </si>
  <si>
    <r>
      <t xml:space="preserve">LIZ </t>
    </r>
    <r>
      <rPr>
        <b/>
        <sz val="6"/>
        <color theme="1"/>
        <rFont val="Calibri"/>
        <family val="2"/>
        <scheme val="minor"/>
      </rPr>
      <t>(7%)</t>
    </r>
  </si>
  <si>
    <r>
      <t xml:space="preserve">JOSÉ </t>
    </r>
    <r>
      <rPr>
        <b/>
        <sz val="6"/>
        <color theme="1"/>
        <rFont val="Calibri"/>
        <family val="2"/>
        <scheme val="minor"/>
      </rPr>
      <t>(9%)</t>
    </r>
  </si>
  <si>
    <t>¡</t>
  </si>
  <si>
    <t>Precios NETOS  (SIN IGV) X MAYOR o VOLUMEN</t>
  </si>
  <si>
    <t>Flete</t>
  </si>
  <si>
    <t>GxU</t>
  </si>
  <si>
    <t>TU. SFAC</t>
  </si>
  <si>
    <t>GTxM</t>
  </si>
  <si>
    <t>TOTAL</t>
  </si>
  <si>
    <t>TOTALES X 3 X 6 X  12</t>
  </si>
  <si>
    <t>X12</t>
  </si>
  <si>
    <t>X6</t>
  </si>
  <si>
    <t>X3</t>
  </si>
  <si>
    <t>Precios INCLUIDO IGV X UNIDAD</t>
  </si>
  <si>
    <t>Precios INCLUIDO IGV X MAYOR o VOLUMEN</t>
  </si>
  <si>
    <t>Intel Celeron DC G5925 3.60 GHz, 4 MB Caché L3, LGA1200,</t>
  </si>
  <si>
    <t>Total</t>
  </si>
  <si>
    <t>DELL INSPIRON 3567 CI3 6006U 2.0GHZ 4GB DDR4 1TB UBUNTU 15.6IN BLACK DVD VIDEO INTEGRADO INTEL HD GRAPHICS</t>
  </si>
  <si>
    <t>Costo Total</t>
  </si>
  <si>
    <t xml:space="preserve">Ganancia Real </t>
  </si>
  <si>
    <t>monto disponible</t>
  </si>
  <si>
    <t>Prec. Venta</t>
  </si>
  <si>
    <t>Precio Venta Final</t>
  </si>
  <si>
    <t>restando</t>
  </si>
  <si>
    <t>Precios con IGV</t>
  </si>
  <si>
    <t>Gara.</t>
  </si>
  <si>
    <t>precio $</t>
  </si>
  <si>
    <t>Pr.+IGV Soles</t>
  </si>
  <si>
    <t>Total Promo</t>
  </si>
  <si>
    <t>Mem.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</si>
</sst>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$-409]#,##0.00"/>
    <numFmt numFmtId="165" formatCode="[$S/.-280A]\ #,##0.00"/>
    <numFmt numFmtId="166" formatCode="&quot;S/.&quot;#,##0.00"/>
    <numFmt numFmtId="167" formatCode="[$S/.-280A]#,##0.00"/>
    <numFmt numFmtId="168" formatCode="[$S/.-280A]#,##0.0000"/>
    <numFmt numFmtId="169" formatCode="0.00000"/>
    <numFmt numFmtId="170" formatCode="[$S/.-C6B]\ #,##0.00"/>
    <numFmt numFmtId="171" formatCode="[$S/.-C6B]\ #,##0"/>
    <numFmt numFmtId="172" formatCode="#,##0.0000"/>
    <numFmt numFmtId="173" formatCode="0.0"/>
    <numFmt numFmtId="174" formatCode="[$S/.-C6B]\ #,##0.0"/>
    <numFmt numFmtId="175" formatCode="#,##0.00000"/>
    <numFmt numFmtId="176" formatCode="#,##0.0"/>
  </numFmts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92D050"/>
      <name val="Arial Black"/>
      <family val="2"/>
    </font>
    <font>
      <b/>
      <sz val="11"/>
      <color rgb="FFFF0000"/>
      <name val="Arial Black"/>
      <family val="2"/>
    </font>
    <font>
      <b/>
      <sz val="14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1"/>
      <color theme="0"/>
      <name val="Arial Black"/>
      <family val="2"/>
    </font>
    <font>
      <b/>
      <sz val="11"/>
      <color rgb="FF333333"/>
      <name val="Segoe UI"/>
      <family val="2"/>
    </font>
    <font>
      <b/>
      <sz val="14"/>
      <color theme="0"/>
      <name val="Segoe UI"/>
      <family val="2"/>
    </font>
    <font>
      <b/>
      <sz val="16"/>
      <color theme="0"/>
      <name val="Calibri"/>
      <family val="2"/>
      <scheme val="minor"/>
    </font>
    <font>
      <b/>
      <sz val="12"/>
      <color rgb="FFFF0000"/>
      <name val="Segoe UI"/>
      <family val="2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9"/>
      <color theme="0"/>
      <name val="Arial Black"/>
      <family val="2"/>
    </font>
    <font>
      <sz val="7"/>
      <color rgb="FF666666"/>
      <name val="Verdana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333333"/>
      <name val="Segoe UI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b/>
      <sz val="3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8"/>
      <color rgb="FF333333"/>
      <name val="Arial"/>
      <family val="2"/>
    </font>
    <font>
      <b/>
      <sz val="10"/>
      <color theme="0"/>
      <name val="Arial"/>
      <family val="2"/>
    </font>
    <font>
      <b/>
      <sz val="10"/>
      <color rgb="FF333333"/>
      <name val="Arial"/>
      <family val="2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5.5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rgb="FF5D5650"/>
      <name val="Arial"/>
      <family val="2"/>
    </font>
    <font>
      <sz val="10"/>
      <color rgb="FF333333"/>
      <name val="Arial"/>
      <family val="2"/>
    </font>
    <font>
      <i/>
      <sz val="10"/>
      <color rgb="FF333333"/>
      <name val="Arial"/>
      <family val="2"/>
    </font>
    <font>
      <u/>
      <sz val="10"/>
      <color rgb="FF4E71C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4EC57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50B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3FF5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15D8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/>
      </bottom>
      <diagonal/>
    </border>
    <border>
      <left/>
      <right style="thin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ck">
        <color theme="0"/>
      </top>
      <bottom style="thick">
        <color theme="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/>
      <diagonal/>
    </border>
    <border>
      <left style="medium">
        <color rgb="FFF2F2F2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FF0000"/>
      </left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56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0" fontId="7" fillId="0" borderId="0" xfId="0" applyFont="1"/>
    <xf numFmtId="0" fontId="7" fillId="6" borderId="0" xfId="0" applyFont="1" applyFill="1"/>
    <xf numFmtId="0" fontId="7" fillId="6" borderId="1" xfId="0" applyFont="1" applyFill="1" applyBorder="1"/>
    <xf numFmtId="0" fontId="7" fillId="6" borderId="2" xfId="0" applyFont="1" applyFill="1" applyBorder="1"/>
    <xf numFmtId="0" fontId="11" fillId="0" borderId="1" xfId="0" applyFont="1" applyBorder="1" applyAlignment="1">
      <alignment horizontal="center"/>
    </xf>
    <xf numFmtId="0" fontId="7" fillId="2" borderId="0" xfId="0" applyFont="1" applyFill="1"/>
    <xf numFmtId="164" fontId="7" fillId="0" borderId="1" xfId="0" applyNumberFormat="1" applyFont="1" applyBorder="1" applyAlignment="1">
      <alignment horizontal="center" vertical="center" wrapText="1"/>
    </xf>
    <xf numFmtId="167" fontId="7" fillId="6" borderId="0" xfId="0" applyNumberFormat="1" applyFont="1" applyFill="1"/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17" xfId="0" applyFont="1" applyBorder="1"/>
    <xf numFmtId="168" fontId="7" fillId="6" borderId="0" xfId="0" applyNumberFormat="1" applyFont="1" applyFill="1"/>
    <xf numFmtId="0" fontId="7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textRotation="255"/>
    </xf>
    <xf numFmtId="49" fontId="10" fillId="3" borderId="0" xfId="0" applyNumberFormat="1" applyFont="1" applyFill="1" applyAlignment="1">
      <alignment horizontal="center" vertical="center" textRotation="255"/>
    </xf>
    <xf numFmtId="0" fontId="7" fillId="0" borderId="0" xfId="0" applyFont="1" applyAlignment="1">
      <alignment vertical="center"/>
    </xf>
    <xf numFmtId="0" fontId="1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 vertical="center" wrapText="1"/>
    </xf>
    <xf numFmtId="164" fontId="7" fillId="0" borderId="0" xfId="0" applyNumberFormat="1" applyFont="1"/>
    <xf numFmtId="166" fontId="7" fillId="6" borderId="0" xfId="0" applyNumberFormat="1" applyFont="1" applyFill="1"/>
    <xf numFmtId="0" fontId="7" fillId="0" borderId="0" xfId="0" applyFont="1" applyAlignment="1">
      <alignment wrapText="1"/>
    </xf>
    <xf numFmtId="169" fontId="7" fillId="0" borderId="0" xfId="0" applyNumberFormat="1" applyFont="1"/>
    <xf numFmtId="1" fontId="7" fillId="0" borderId="0" xfId="0" applyNumberFormat="1" applyFont="1"/>
    <xf numFmtId="4" fontId="7" fillId="0" borderId="0" xfId="0" applyNumberFormat="1" applyFont="1"/>
    <xf numFmtId="0" fontId="7" fillId="0" borderId="34" xfId="0" applyFont="1" applyBorder="1"/>
    <xf numFmtId="0" fontId="6" fillId="5" borderId="0" xfId="0" applyFont="1" applyFill="1"/>
    <xf numFmtId="170" fontId="7" fillId="6" borderId="0" xfId="0" applyNumberFormat="1" applyFont="1" applyFill="1"/>
    <xf numFmtId="0" fontId="0" fillId="6" borderId="0" xfId="0" applyFill="1"/>
    <xf numFmtId="0" fontId="16" fillId="6" borderId="0" xfId="1" applyFill="1"/>
    <xf numFmtId="0" fontId="11" fillId="9" borderId="29" xfId="0" applyFont="1" applyFill="1" applyBorder="1" applyAlignment="1">
      <alignment horizontal="center" vertical="center"/>
    </xf>
    <xf numFmtId="0" fontId="11" fillId="11" borderId="29" xfId="0" applyFont="1" applyFill="1" applyBorder="1" applyAlignment="1">
      <alignment horizontal="center" vertical="center"/>
    </xf>
    <xf numFmtId="0" fontId="11" fillId="13" borderId="29" xfId="0" applyFont="1" applyFill="1" applyBorder="1" applyAlignment="1">
      <alignment horizontal="center" vertical="center"/>
    </xf>
    <xf numFmtId="0" fontId="11" fillId="12" borderId="29" xfId="0" applyFont="1" applyFill="1" applyBorder="1" applyAlignment="1">
      <alignment horizontal="center" vertical="center"/>
    </xf>
    <xf numFmtId="0" fontId="11" fillId="15" borderId="29" xfId="0" applyFont="1" applyFill="1" applyBorder="1" applyAlignment="1">
      <alignment horizontal="center" vertical="center"/>
    </xf>
    <xf numFmtId="0" fontId="11" fillId="14" borderId="29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8" borderId="21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1" fontId="7" fillId="10" borderId="32" xfId="0" applyNumberFormat="1" applyFont="1" applyFill="1" applyBorder="1"/>
    <xf numFmtId="171" fontId="7" fillId="0" borderId="29" xfId="0" applyNumberFormat="1" applyFont="1" applyBorder="1" applyAlignment="1">
      <alignment horizontal="center" vertical="center"/>
    </xf>
    <xf numFmtId="171" fontId="7" fillId="0" borderId="1" xfId="0" applyNumberFormat="1" applyFont="1" applyBorder="1" applyAlignment="1">
      <alignment horizontal="center" vertical="center"/>
    </xf>
    <xf numFmtId="1" fontId="7" fillId="10" borderId="32" xfId="0" applyNumberFormat="1" applyFont="1" applyFill="1" applyBorder="1" applyAlignment="1">
      <alignment horizontal="center"/>
    </xf>
    <xf numFmtId="1" fontId="7" fillId="3" borderId="1" xfId="0" applyNumberFormat="1" applyFont="1" applyFill="1" applyBorder="1" applyAlignment="1">
      <alignment horizontal="center"/>
    </xf>
    <xf numFmtId="1" fontId="7" fillId="10" borderId="32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1" fontId="7" fillId="10" borderId="35" xfId="0" applyNumberFormat="1" applyFont="1" applyFill="1" applyBorder="1" applyAlignment="1">
      <alignment horizontal="center" vertical="center"/>
    </xf>
    <xf numFmtId="1" fontId="7" fillId="10" borderId="0" xfId="0" applyNumberFormat="1" applyFont="1" applyFill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0" fontId="11" fillId="9" borderId="1" xfId="0" applyFont="1" applyFill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/>
    </xf>
    <xf numFmtId="171" fontId="15" fillId="4" borderId="15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 wrapText="1"/>
    </xf>
    <xf numFmtId="4" fontId="7" fillId="10" borderId="41" xfId="0" applyNumberFormat="1" applyFont="1" applyFill="1" applyBorder="1"/>
    <xf numFmtId="0" fontId="7" fillId="10" borderId="41" xfId="0" applyFont="1" applyFill="1" applyBorder="1"/>
    <xf numFmtId="0" fontId="7" fillId="2" borderId="15" xfId="0" applyFont="1" applyFill="1" applyBorder="1"/>
    <xf numFmtId="0" fontId="7" fillId="2" borderId="42" xfId="0" applyFont="1" applyFill="1" applyBorder="1"/>
    <xf numFmtId="0" fontId="7" fillId="2" borderId="36" xfId="0" applyFont="1" applyFill="1" applyBorder="1"/>
    <xf numFmtId="0" fontId="7" fillId="0" borderId="1" xfId="0" applyFont="1" applyBorder="1"/>
    <xf numFmtId="0" fontId="0" fillId="0" borderId="1" xfId="0" applyBorder="1"/>
    <xf numFmtId="0" fontId="2" fillId="0" borderId="8" xfId="0" applyFont="1" applyBorder="1" applyAlignment="1">
      <alignment horizontal="center" vertical="center"/>
    </xf>
    <xf numFmtId="49" fontId="10" fillId="3" borderId="2" xfId="0" applyNumberFormat="1" applyFont="1" applyFill="1" applyBorder="1" applyAlignment="1">
      <alignment vertical="center" textRotation="255"/>
    </xf>
    <xf numFmtId="49" fontId="10" fillId="3" borderId="3" xfId="0" applyNumberFormat="1" applyFont="1" applyFill="1" applyBorder="1" applyAlignment="1">
      <alignment vertical="center" textRotation="255"/>
    </xf>
    <xf numFmtId="0" fontId="19" fillId="10" borderId="11" xfId="0" applyFont="1" applyFill="1" applyBorder="1" applyAlignment="1">
      <alignment horizontal="center" vertical="center"/>
    </xf>
    <xf numFmtId="167" fontId="7" fillId="6" borderId="38" xfId="0" applyNumberFormat="1" applyFont="1" applyFill="1" applyBorder="1" applyAlignment="1">
      <alignment horizontal="center"/>
    </xf>
    <xf numFmtId="1" fontId="7" fillId="3" borderId="2" xfId="0" applyNumberFormat="1" applyFont="1" applyFill="1" applyBorder="1" applyAlignment="1">
      <alignment horizontal="center"/>
    </xf>
    <xf numFmtId="1" fontId="7" fillId="3" borderId="4" xfId="0" applyNumberFormat="1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 wrapText="1"/>
    </xf>
    <xf numFmtId="174" fontId="7" fillId="0" borderId="29" xfId="0" applyNumberFormat="1" applyFont="1" applyBorder="1" applyAlignment="1">
      <alignment horizontal="center" vertical="center"/>
    </xf>
    <xf numFmtId="165" fontId="7" fillId="5" borderId="0" xfId="0" applyNumberFormat="1" applyFont="1" applyFill="1"/>
    <xf numFmtId="165" fontId="7" fillId="5" borderId="46" xfId="0" applyNumberFormat="1" applyFont="1" applyFill="1" applyBorder="1"/>
    <xf numFmtId="0" fontId="11" fillId="9" borderId="2" xfId="0" applyFont="1" applyFill="1" applyBorder="1" applyAlignment="1">
      <alignment horizontal="right" vertical="center"/>
    </xf>
    <xf numFmtId="0" fontId="11" fillId="12" borderId="37" xfId="0" applyFont="1" applyFill="1" applyBorder="1" applyAlignment="1">
      <alignment horizontal="center" vertical="center"/>
    </xf>
    <xf numFmtId="174" fontId="7" fillId="0" borderId="37" xfId="0" applyNumberFormat="1" applyFont="1" applyBorder="1" applyAlignment="1">
      <alignment horizontal="center" vertical="center"/>
    </xf>
    <xf numFmtId="1" fontId="7" fillId="10" borderId="48" xfId="0" applyNumberFormat="1" applyFont="1" applyFill="1" applyBorder="1" applyAlignment="1">
      <alignment horizontal="center"/>
    </xf>
    <xf numFmtId="1" fontId="7" fillId="10" borderId="48" xfId="0" applyNumberFormat="1" applyFont="1" applyFill="1" applyBorder="1"/>
    <xf numFmtId="0" fontId="7" fillId="10" borderId="51" xfId="0" applyFont="1" applyFill="1" applyBorder="1"/>
    <xf numFmtId="0" fontId="0" fillId="6" borderId="1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73" fontId="7" fillId="6" borderId="1" xfId="0" applyNumberFormat="1" applyFont="1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73" fontId="7" fillId="0" borderId="7" xfId="0" applyNumberFormat="1" applyFont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1" fontId="7" fillId="10" borderId="1" xfId="0" applyNumberFormat="1" applyFont="1" applyFill="1" applyBorder="1" applyAlignment="1">
      <alignment horizontal="center" vertical="center"/>
    </xf>
    <xf numFmtId="1" fontId="7" fillId="10" borderId="1" xfId="0" applyNumberFormat="1" applyFont="1" applyFill="1" applyBorder="1"/>
    <xf numFmtId="173" fontId="7" fillId="3" borderId="29" xfId="0" applyNumberFormat="1" applyFont="1" applyFill="1" applyBorder="1" applyAlignment="1">
      <alignment horizontal="center" vertical="center"/>
    </xf>
    <xf numFmtId="173" fontId="7" fillId="0" borderId="1" xfId="0" applyNumberFormat="1" applyFont="1" applyBorder="1" applyAlignment="1">
      <alignment horizontal="center" vertical="center"/>
    </xf>
    <xf numFmtId="173" fontId="7" fillId="0" borderId="1" xfId="0" applyNumberFormat="1" applyFont="1" applyBorder="1"/>
    <xf numFmtId="0" fontId="3" fillId="4" borderId="25" xfId="0" applyFont="1" applyFill="1" applyBorder="1" applyAlignment="1">
      <alignment vertical="center"/>
    </xf>
    <xf numFmtId="167" fontId="7" fillId="6" borderId="29" xfId="0" applyNumberFormat="1" applyFont="1" applyFill="1" applyBorder="1"/>
    <xf numFmtId="167" fontId="7" fillId="6" borderId="35" xfId="0" applyNumberFormat="1" applyFont="1" applyFill="1" applyBorder="1"/>
    <xf numFmtId="0" fontId="22" fillId="0" borderId="0" xfId="0" applyFont="1"/>
    <xf numFmtId="173" fontId="7" fillId="0" borderId="0" xfId="0" applyNumberFormat="1" applyFont="1"/>
    <xf numFmtId="0" fontId="7" fillId="9" borderId="0" xfId="0" applyFont="1" applyFill="1"/>
    <xf numFmtId="0" fontId="17" fillId="0" borderId="1" xfId="0" applyFont="1" applyBorder="1" applyAlignment="1">
      <alignment horizontal="center" wrapText="1"/>
    </xf>
    <xf numFmtId="0" fontId="19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/>
    </xf>
    <xf numFmtId="0" fontId="20" fillId="4" borderId="46" xfId="0" applyFont="1" applyFill="1" applyBorder="1" applyAlignment="1">
      <alignment vertical="center"/>
    </xf>
    <xf numFmtId="49" fontId="21" fillId="3" borderId="3" xfId="0" applyNumberFormat="1" applyFont="1" applyFill="1" applyBorder="1" applyAlignment="1">
      <alignment horizontal="center" vertical="center" textRotation="255"/>
    </xf>
    <xf numFmtId="0" fontId="18" fillId="4" borderId="0" xfId="0" applyFont="1" applyFill="1" applyAlignment="1">
      <alignment wrapText="1"/>
    </xf>
    <xf numFmtId="0" fontId="17" fillId="4" borderId="1" xfId="0" applyFont="1" applyFill="1" applyBorder="1" applyAlignment="1">
      <alignment wrapText="1"/>
    </xf>
    <xf numFmtId="0" fontId="24" fillId="4" borderId="1" xfId="0" applyFont="1" applyFill="1" applyBorder="1" applyAlignment="1">
      <alignment wrapText="1"/>
    </xf>
    <xf numFmtId="0" fontId="5" fillId="4" borderId="0" xfId="0" applyFont="1" applyFill="1" applyAlignment="1">
      <alignment wrapText="1"/>
    </xf>
    <xf numFmtId="0" fontId="25" fillId="16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right" vertical="center"/>
    </xf>
    <xf numFmtId="0" fontId="25" fillId="11" borderId="29" xfId="0" applyFont="1" applyFill="1" applyBorder="1" applyAlignment="1">
      <alignment horizontal="center" vertical="center"/>
    </xf>
    <xf numFmtId="1" fontId="8" fillId="10" borderId="32" xfId="0" applyNumberFormat="1" applyFont="1" applyFill="1" applyBorder="1" applyAlignment="1">
      <alignment horizontal="center" vertical="center"/>
    </xf>
    <xf numFmtId="173" fontId="26" fillId="5" borderId="45" xfId="0" applyNumberFormat="1" applyFont="1" applyFill="1" applyBorder="1" applyAlignment="1">
      <alignment vertical="center"/>
    </xf>
    <xf numFmtId="1" fontId="26" fillId="5" borderId="29" xfId="0" applyNumberFormat="1" applyFont="1" applyFill="1" applyBorder="1" applyAlignment="1">
      <alignment vertical="center"/>
    </xf>
    <xf numFmtId="0" fontId="8" fillId="2" borderId="36" xfId="0" applyFont="1" applyFill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73" fontId="26" fillId="5" borderId="33" xfId="0" applyNumberFormat="1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right" vertical="center" wrapText="1"/>
    </xf>
    <xf numFmtId="0" fontId="8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1" fontId="5" fillId="3" borderId="32" xfId="0" applyNumberFormat="1" applyFont="1" applyFill="1" applyBorder="1" applyAlignment="1">
      <alignment vertical="center"/>
    </xf>
    <xf numFmtId="0" fontId="23" fillId="3" borderId="34" xfId="0" applyFont="1" applyFill="1" applyBorder="1" applyAlignment="1">
      <alignment horizontal="center" vertical="center"/>
    </xf>
    <xf numFmtId="173" fontId="27" fillId="3" borderId="45" xfId="0" applyNumberFormat="1" applyFont="1" applyFill="1" applyBorder="1" applyAlignment="1">
      <alignment vertical="center"/>
    </xf>
    <xf numFmtId="0" fontId="23" fillId="3" borderId="1" xfId="0" applyFont="1" applyFill="1" applyBorder="1" applyAlignment="1">
      <alignment horizontal="center" vertical="center"/>
    </xf>
    <xf numFmtId="0" fontId="1" fillId="16" borderId="34" xfId="0" applyFont="1" applyFill="1" applyBorder="1" applyAlignment="1">
      <alignment horizontal="center" vertical="center"/>
    </xf>
    <xf numFmtId="1" fontId="8" fillId="16" borderId="4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4" fontId="8" fillId="16" borderId="1" xfId="0" applyNumberFormat="1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vertical="center"/>
    </xf>
    <xf numFmtId="1" fontId="6" fillId="5" borderId="29" xfId="0" applyNumberFormat="1" applyFont="1" applyFill="1" applyBorder="1"/>
    <xf numFmtId="173" fontId="13" fillId="4" borderId="4" xfId="0" applyNumberFormat="1" applyFont="1" applyFill="1" applyBorder="1" applyAlignment="1">
      <alignment horizontal="center" vertical="center"/>
    </xf>
    <xf numFmtId="173" fontId="30" fillId="16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/>
    <xf numFmtId="0" fontId="32" fillId="18" borderId="1" xfId="0" applyFont="1" applyFill="1" applyBorder="1" applyAlignment="1">
      <alignment horizontal="left" vertical="center" wrapText="1" indent="1"/>
    </xf>
    <xf numFmtId="0" fontId="1" fillId="18" borderId="0" xfId="0" applyFont="1" applyFill="1"/>
    <xf numFmtId="0" fontId="32" fillId="20" borderId="1" xfId="0" applyFont="1" applyFill="1" applyBorder="1" applyAlignment="1">
      <alignment horizontal="left" vertical="center" wrapText="1" indent="1"/>
    </xf>
    <xf numFmtId="0" fontId="32" fillId="18" borderId="57" xfId="0" applyFont="1" applyFill="1" applyBorder="1" applyAlignment="1">
      <alignment horizontal="left" vertical="center" wrapText="1" indent="1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0" fontId="0" fillId="19" borderId="32" xfId="0" applyFill="1" applyBorder="1"/>
    <xf numFmtId="0" fontId="0" fillId="0" borderId="33" xfId="0" applyBorder="1" applyAlignment="1">
      <alignment horizontal="center" vertical="center"/>
    </xf>
    <xf numFmtId="0" fontId="0" fillId="5" borderId="59" xfId="0" applyFill="1" applyBorder="1"/>
    <xf numFmtId="9" fontId="33" fillId="3" borderId="22" xfId="0" applyNumberFormat="1" applyFont="1" applyFill="1" applyBorder="1" applyAlignment="1">
      <alignment horizontal="center" vertical="center" wrapText="1"/>
    </xf>
    <xf numFmtId="9" fontId="34" fillId="18" borderId="9" xfId="0" applyNumberFormat="1" applyFont="1" applyFill="1" applyBorder="1" applyAlignment="1">
      <alignment horizontal="center" vertical="center" wrapText="1"/>
    </xf>
    <xf numFmtId="9" fontId="34" fillId="18" borderId="33" xfId="0" applyNumberFormat="1" applyFont="1" applyFill="1" applyBorder="1" applyAlignment="1">
      <alignment horizontal="center" vertical="center" wrapText="1"/>
    </xf>
    <xf numFmtId="9" fontId="34" fillId="20" borderId="33" xfId="0" applyNumberFormat="1" applyFont="1" applyFill="1" applyBorder="1" applyAlignment="1">
      <alignment horizontal="center" vertical="center" wrapText="1"/>
    </xf>
    <xf numFmtId="9" fontId="34" fillId="18" borderId="58" xfId="0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/>
    </xf>
    <xf numFmtId="9" fontId="33" fillId="3" borderId="33" xfId="0" applyNumberFormat="1" applyFont="1" applyFill="1" applyBorder="1" applyAlignment="1">
      <alignment horizontal="center" vertical="center" wrapText="1"/>
    </xf>
    <xf numFmtId="9" fontId="33" fillId="3" borderId="58" xfId="0" applyNumberFormat="1" applyFont="1" applyFill="1" applyBorder="1" applyAlignment="1">
      <alignment horizontal="center" vertical="center" wrapText="1"/>
    </xf>
    <xf numFmtId="9" fontId="33" fillId="3" borderId="9" xfId="0" applyNumberFormat="1" applyFont="1" applyFill="1" applyBorder="1" applyAlignment="1">
      <alignment horizontal="center" vertical="center" wrapText="1"/>
    </xf>
    <xf numFmtId="0" fontId="32" fillId="18" borderId="1" xfId="0" applyFont="1" applyFill="1" applyBorder="1" applyAlignment="1">
      <alignment horizontal="center" vertical="center" wrapText="1"/>
    </xf>
    <xf numFmtId="0" fontId="32" fillId="18" borderId="4" xfId="0" applyFont="1" applyFill="1" applyBorder="1" applyAlignment="1">
      <alignment horizontal="left" vertical="center" wrapText="1" indent="1"/>
    </xf>
    <xf numFmtId="0" fontId="32" fillId="0" borderId="1" xfId="0" applyFont="1" applyBorder="1" applyAlignment="1">
      <alignment horizontal="center" vertical="center" wrapText="1"/>
    </xf>
    <xf numFmtId="9" fontId="33" fillId="17" borderId="33" xfId="0" applyNumberFormat="1" applyFont="1" applyFill="1" applyBorder="1" applyAlignment="1">
      <alignment horizontal="center" vertical="center" wrapText="1"/>
    </xf>
    <xf numFmtId="9" fontId="33" fillId="17" borderId="58" xfId="0" applyNumberFormat="1" applyFont="1" applyFill="1" applyBorder="1" applyAlignment="1">
      <alignment horizontal="center" vertical="center" wrapText="1"/>
    </xf>
    <xf numFmtId="0" fontId="0" fillId="17" borderId="11" xfId="0" applyFill="1" applyBorder="1"/>
    <xf numFmtId="0" fontId="37" fillId="25" borderId="66" xfId="0" applyFont="1" applyFill="1" applyBorder="1" applyAlignment="1">
      <alignment horizontal="center" vertical="center"/>
    </xf>
    <xf numFmtId="0" fontId="24" fillId="21" borderId="52" xfId="0" applyFont="1" applyFill="1" applyBorder="1" applyAlignment="1">
      <alignment horizontal="center" vertical="center"/>
    </xf>
    <xf numFmtId="0" fontId="24" fillId="21" borderId="35" xfId="0" applyFont="1" applyFill="1" applyBorder="1" applyAlignment="1">
      <alignment horizontal="center" vertical="center"/>
    </xf>
    <xf numFmtId="0" fontId="37" fillId="25" borderId="2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horizontal="center" vertical="center" wrapText="1"/>
    </xf>
    <xf numFmtId="9" fontId="5" fillId="24" borderId="1" xfId="0" applyNumberFormat="1" applyFont="1" applyFill="1" applyBorder="1" applyAlignment="1">
      <alignment horizontal="center" vertical="center" wrapText="1"/>
    </xf>
    <xf numFmtId="9" fontId="5" fillId="24" borderId="3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9" xfId="0" applyBorder="1"/>
    <xf numFmtId="0" fontId="0" fillId="0" borderId="66" xfId="0" applyBorder="1"/>
    <xf numFmtId="0" fontId="0" fillId="0" borderId="52" xfId="0" applyBorder="1"/>
    <xf numFmtId="0" fontId="39" fillId="0" borderId="68" xfId="0" applyFont="1" applyBorder="1" applyAlignment="1">
      <alignment horizontal="center"/>
    </xf>
    <xf numFmtId="0" fontId="39" fillId="0" borderId="66" xfId="0" applyFont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6" borderId="29" xfId="0" applyFill="1" applyBorder="1"/>
    <xf numFmtId="0" fontId="0" fillId="26" borderId="68" xfId="0" applyFill="1" applyBorder="1"/>
    <xf numFmtId="0" fontId="0" fillId="26" borderId="52" xfId="0" applyFill="1" applyBorder="1"/>
    <xf numFmtId="0" fontId="0" fillId="0" borderId="68" xfId="0" applyBorder="1"/>
    <xf numFmtId="0" fontId="0" fillId="26" borderId="57" xfId="0" applyFill="1" applyBorder="1" applyAlignment="1">
      <alignment horizontal="center"/>
    </xf>
    <xf numFmtId="0" fontId="0" fillId="26" borderId="14" xfId="0" applyFill="1" applyBorder="1"/>
    <xf numFmtId="0" fontId="0" fillId="26" borderId="69" xfId="0" applyFill="1" applyBorder="1"/>
    <xf numFmtId="0" fontId="0" fillId="26" borderId="70" xfId="0" applyFill="1" applyBorder="1"/>
    <xf numFmtId="0" fontId="39" fillId="0" borderId="69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39" fillId="0" borderId="4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173" fontId="0" fillId="0" borderId="4" xfId="0" applyNumberFormat="1" applyBorder="1"/>
    <xf numFmtId="173" fontId="0" fillId="0" borderId="1" xfId="0" applyNumberFormat="1" applyBorder="1"/>
    <xf numFmtId="0" fontId="5" fillId="23" borderId="61" xfId="0" applyFont="1" applyFill="1" applyBorder="1" applyAlignment="1">
      <alignment horizontal="center" vertical="center" wrapText="1"/>
    </xf>
    <xf numFmtId="1" fontId="0" fillId="0" borderId="52" xfId="0" applyNumberFormat="1" applyBorder="1"/>
    <xf numFmtId="1" fontId="0" fillId="26" borderId="52" xfId="0" applyNumberFormat="1" applyFill="1" applyBorder="1"/>
    <xf numFmtId="1" fontId="0" fillId="0" borderId="4" xfId="0" applyNumberFormat="1" applyBorder="1"/>
    <xf numFmtId="1" fontId="0" fillId="0" borderId="1" xfId="0" applyNumberFormat="1" applyBorder="1"/>
    <xf numFmtId="1" fontId="0" fillId="0" borderId="45" xfId="0" applyNumberFormat="1" applyBorder="1"/>
    <xf numFmtId="1" fontId="0" fillId="26" borderId="45" xfId="0" applyNumberFormat="1" applyFill="1" applyBorder="1"/>
    <xf numFmtId="0" fontId="40" fillId="0" borderId="29" xfId="0" applyFont="1" applyBorder="1" applyAlignment="1">
      <alignment horizontal="center"/>
    </xf>
    <xf numFmtId="0" fontId="40" fillId="26" borderId="29" xfId="0" applyFont="1" applyFill="1" applyBorder="1" applyAlignment="1">
      <alignment horizontal="center"/>
    </xf>
    <xf numFmtId="0" fontId="40" fillId="26" borderId="14" xfId="0" applyFont="1" applyFill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38" fillId="0" borderId="32" xfId="0" applyFont="1" applyBorder="1" applyAlignment="1">
      <alignment horizontal="center"/>
    </xf>
    <xf numFmtId="0" fontId="38" fillId="26" borderId="32" xfId="0" applyFont="1" applyFill="1" applyBorder="1" applyAlignment="1">
      <alignment horizontal="center"/>
    </xf>
    <xf numFmtId="0" fontId="38" fillId="26" borderId="59" xfId="0" applyFont="1" applyFill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44" fillId="0" borderId="0" xfId="0" applyFont="1"/>
    <xf numFmtId="4" fontId="3" fillId="4" borderId="24" xfId="0" applyNumberFormat="1" applyFont="1" applyFill="1" applyBorder="1"/>
    <xf numFmtId="0" fontId="0" fillId="18" borderId="0" xfId="0" applyFill="1"/>
    <xf numFmtId="0" fontId="45" fillId="18" borderId="71" xfId="0" applyFont="1" applyFill="1" applyBorder="1" applyAlignment="1">
      <alignment horizontal="right" vertical="top" wrapText="1" indent="1"/>
    </xf>
    <xf numFmtId="0" fontId="45" fillId="18" borderId="71" xfId="0" applyFont="1" applyFill="1" applyBorder="1" applyAlignment="1">
      <alignment vertical="top" wrapText="1" indent="1"/>
    </xf>
    <xf numFmtId="0" fontId="45" fillId="18" borderId="71" xfId="0" applyFont="1" applyFill="1" applyBorder="1" applyAlignment="1">
      <alignment horizontal="center" vertical="top" wrapText="1"/>
    </xf>
    <xf numFmtId="0" fontId="46" fillId="18" borderId="71" xfId="0" applyFont="1" applyFill="1" applyBorder="1" applyAlignment="1">
      <alignment horizontal="center" vertical="top" wrapText="1"/>
    </xf>
    <xf numFmtId="15" fontId="45" fillId="18" borderId="72" xfId="0" applyNumberFormat="1" applyFont="1" applyFill="1" applyBorder="1" applyAlignment="1">
      <alignment vertical="top" wrapText="1" indent="1"/>
    </xf>
    <xf numFmtId="20" fontId="45" fillId="18" borderId="73" xfId="0" applyNumberFormat="1" applyFont="1" applyFill="1" applyBorder="1" applyAlignment="1">
      <alignment vertical="top" wrapText="1" indent="1"/>
    </xf>
    <xf numFmtId="15" fontId="45" fillId="20" borderId="72" xfId="0" applyNumberFormat="1" applyFont="1" applyFill="1" applyBorder="1" applyAlignment="1">
      <alignment vertical="top" wrapText="1" indent="1"/>
    </xf>
    <xf numFmtId="20" fontId="45" fillId="20" borderId="73" xfId="0" applyNumberFormat="1" applyFont="1" applyFill="1" applyBorder="1" applyAlignment="1">
      <alignment vertical="top" wrapText="1" indent="1"/>
    </xf>
    <xf numFmtId="2" fontId="7" fillId="0" borderId="0" xfId="0" applyNumberFormat="1" applyFont="1"/>
    <xf numFmtId="0" fontId="0" fillId="3" borderId="0" xfId="0" applyFill="1"/>
    <xf numFmtId="0" fontId="0" fillId="2" borderId="0" xfId="0" applyFill="1"/>
    <xf numFmtId="0" fontId="7" fillId="2" borderId="74" xfId="0" applyFont="1" applyFill="1" applyBorder="1"/>
    <xf numFmtId="0" fontId="7" fillId="0" borderId="1" xfId="0" applyFont="1" applyBorder="1" applyAlignment="1">
      <alignment wrapText="1"/>
    </xf>
    <xf numFmtId="9" fontId="7" fillId="0" borderId="2" xfId="0" applyNumberFormat="1" applyFont="1" applyBorder="1" applyAlignment="1">
      <alignment horizontal="center" vertical="center"/>
    </xf>
    <xf numFmtId="0" fontId="11" fillId="11" borderId="37" xfId="0" applyFont="1" applyFill="1" applyBorder="1" applyAlignment="1">
      <alignment horizontal="center" vertical="center"/>
    </xf>
    <xf numFmtId="171" fontId="7" fillId="0" borderId="37" xfId="0" applyNumberFormat="1" applyFont="1" applyBorder="1" applyAlignment="1">
      <alignment horizontal="center" vertical="center"/>
    </xf>
    <xf numFmtId="4" fontId="8" fillId="16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" fontId="5" fillId="3" borderId="48" xfId="0" applyNumberFormat="1" applyFont="1" applyFill="1" applyBorder="1" applyAlignment="1">
      <alignment vertical="center"/>
    </xf>
    <xf numFmtId="0" fontId="7" fillId="6" borderId="29" xfId="0" applyFont="1" applyFill="1" applyBorder="1"/>
    <xf numFmtId="0" fontId="7" fillId="0" borderId="29" xfId="0" applyFont="1" applyBorder="1"/>
    <xf numFmtId="0" fontId="7" fillId="6" borderId="35" xfId="0" applyFont="1" applyFill="1" applyBorder="1"/>
    <xf numFmtId="0" fontId="7" fillId="0" borderId="35" xfId="0" applyFont="1" applyBorder="1"/>
    <xf numFmtId="0" fontId="7" fillId="6" borderId="11" xfId="0" applyFont="1" applyFill="1" applyBorder="1"/>
    <xf numFmtId="0" fontId="7" fillId="6" borderId="10" xfId="0" applyFont="1" applyFill="1" applyBorder="1"/>
    <xf numFmtId="0" fontId="7" fillId="0" borderId="32" xfId="0" applyFont="1" applyBorder="1"/>
    <xf numFmtId="0" fontId="7" fillId="0" borderId="33" xfId="0" applyFont="1" applyBorder="1"/>
    <xf numFmtId="0" fontId="7" fillId="0" borderId="59" xfId="0" applyFont="1" applyBorder="1"/>
    <xf numFmtId="0" fontId="7" fillId="0" borderId="58" xfId="0" applyFont="1" applyBorder="1"/>
    <xf numFmtId="0" fontId="7" fillId="0" borderId="17" xfId="0" applyFont="1" applyBorder="1" applyAlignment="1">
      <alignment horizontal="right"/>
    </xf>
    <xf numFmtId="0" fontId="16" fillId="0" borderId="1" xfId="1" applyBorder="1"/>
    <xf numFmtId="0" fontId="1" fillId="0" borderId="1" xfId="0" applyFont="1" applyBorder="1" applyAlignment="1">
      <alignment vertical="center"/>
    </xf>
    <xf numFmtId="173" fontId="7" fillId="6" borderId="0" xfId="0" applyNumberFormat="1" applyFont="1" applyFill="1"/>
    <xf numFmtId="10" fontId="4" fillId="4" borderId="26" xfId="0" applyNumberFormat="1" applyFont="1" applyFill="1" applyBorder="1"/>
    <xf numFmtId="172" fontId="5" fillId="8" borderId="21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3" fontId="6" fillId="5" borderId="45" xfId="0" applyNumberFormat="1" applyFont="1" applyFill="1" applyBorder="1"/>
    <xf numFmtId="0" fontId="1" fillId="10" borderId="11" xfId="0" applyFont="1" applyFill="1" applyBorder="1" applyAlignment="1">
      <alignment horizontal="center" vertical="center"/>
    </xf>
    <xf numFmtId="173" fontId="6" fillId="5" borderId="29" xfId="0" applyNumberFormat="1" applyFont="1" applyFill="1" applyBorder="1"/>
    <xf numFmtId="0" fontId="1" fillId="0" borderId="2" xfId="0" applyFont="1" applyBorder="1" applyAlignment="1">
      <alignment horizontal="center" vertical="center"/>
    </xf>
    <xf numFmtId="173" fontId="6" fillId="5" borderId="49" xfId="0" applyNumberFormat="1" applyFont="1" applyFill="1" applyBorder="1"/>
    <xf numFmtId="173" fontId="6" fillId="5" borderId="37" xfId="0" applyNumberFormat="1" applyFont="1" applyFill="1" applyBorder="1"/>
    <xf numFmtId="173" fontId="6" fillId="5" borderId="33" xfId="0" applyNumberFormat="1" applyFont="1" applyFill="1" applyBorder="1"/>
    <xf numFmtId="1" fontId="6" fillId="5" borderId="1" xfId="0" applyNumberFormat="1" applyFont="1" applyFill="1" applyBorder="1"/>
    <xf numFmtId="166" fontId="3" fillId="4" borderId="24" xfId="0" applyNumberFormat="1" applyFont="1" applyFill="1" applyBorder="1"/>
    <xf numFmtId="0" fontId="1" fillId="3" borderId="30" xfId="0" applyFont="1" applyFill="1" applyBorder="1" applyAlignment="1">
      <alignment horizontal="center" vertical="center"/>
    </xf>
    <xf numFmtId="1" fontId="6" fillId="5" borderId="33" xfId="0" applyNumberFormat="1" applyFont="1" applyFill="1" applyBorder="1"/>
    <xf numFmtId="171" fontId="5" fillId="3" borderId="20" xfId="0" applyNumberFormat="1" applyFont="1" applyFill="1" applyBorder="1" applyAlignment="1">
      <alignment horizontal="center" vertical="center"/>
    </xf>
    <xf numFmtId="171" fontId="5" fillId="8" borderId="9" xfId="0" applyNumberFormat="1" applyFont="1" applyFill="1" applyBorder="1" applyAlignment="1">
      <alignment horizontal="center" vertical="center"/>
    </xf>
    <xf numFmtId="0" fontId="1" fillId="10" borderId="40" xfId="0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2" fontId="0" fillId="0" borderId="0" xfId="0" applyNumberFormat="1"/>
    <xf numFmtId="1" fontId="5" fillId="27" borderId="32" xfId="0" applyNumberFormat="1" applyFont="1" applyFill="1" applyBorder="1" applyAlignment="1">
      <alignment vertical="center"/>
    </xf>
    <xf numFmtId="0" fontId="50" fillId="0" borderId="0" xfId="0" applyFont="1"/>
    <xf numFmtId="170" fontId="8" fillId="0" borderId="29" xfId="0" applyNumberFormat="1" applyFont="1" applyBorder="1" applyAlignment="1">
      <alignment horizontal="center" vertical="center"/>
    </xf>
    <xf numFmtId="1" fontId="6" fillId="5" borderId="52" xfId="0" applyNumberFormat="1" applyFont="1" applyFill="1" applyBorder="1"/>
    <xf numFmtId="9" fontId="7" fillId="2" borderId="1" xfId="0" applyNumberFormat="1" applyFont="1" applyFill="1" applyBorder="1" applyAlignment="1">
      <alignment horizontal="center" vertical="center"/>
    </xf>
    <xf numFmtId="1" fontId="5" fillId="2" borderId="32" xfId="0" applyNumberFormat="1" applyFont="1" applyFill="1" applyBorder="1" applyAlignment="1">
      <alignment vertical="center"/>
    </xf>
    <xf numFmtId="9" fontId="7" fillId="16" borderId="1" xfId="0" applyNumberFormat="1" applyFont="1" applyFill="1" applyBorder="1" applyAlignment="1">
      <alignment horizontal="center" vertical="center"/>
    </xf>
    <xf numFmtId="9" fontId="7" fillId="3" borderId="1" xfId="0" applyNumberFormat="1" applyFont="1" applyFill="1" applyBorder="1" applyAlignment="1">
      <alignment horizontal="center" vertical="center"/>
    </xf>
    <xf numFmtId="1" fontId="37" fillId="16" borderId="32" xfId="0" applyNumberFormat="1" applyFont="1" applyFill="1" applyBorder="1" applyAlignment="1">
      <alignment vertical="center"/>
    </xf>
    <xf numFmtId="176" fontId="5" fillId="3" borderId="1" xfId="0" applyNumberFormat="1" applyFont="1" applyFill="1" applyBorder="1" applyAlignment="1">
      <alignment horizontal="center" vertical="center"/>
    </xf>
    <xf numFmtId="173" fontId="5" fillId="3" borderId="1" xfId="0" applyNumberFormat="1" applyFont="1" applyFill="1" applyBorder="1" applyAlignment="1">
      <alignment horizontal="center" vertical="center"/>
    </xf>
    <xf numFmtId="1" fontId="26" fillId="5" borderId="33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wrapText="1"/>
    </xf>
    <xf numFmtId="0" fontId="24" fillId="4" borderId="2" xfId="0" applyFont="1" applyFill="1" applyBorder="1" applyAlignment="1">
      <alignment wrapText="1"/>
    </xf>
    <xf numFmtId="0" fontId="19" fillId="10" borderId="2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9" fontId="7" fillId="2" borderId="4" xfId="0" applyNumberFormat="1" applyFont="1" applyFill="1" applyBorder="1" applyAlignment="1">
      <alignment horizontal="center" vertical="center"/>
    </xf>
    <xf numFmtId="9" fontId="7" fillId="0" borderId="4" xfId="0" applyNumberFormat="1" applyFont="1" applyBorder="1" applyAlignment="1">
      <alignment vertical="center"/>
    </xf>
    <xf numFmtId="0" fontId="11" fillId="9" borderId="4" xfId="0" applyFont="1" applyFill="1" applyBorder="1" applyAlignment="1">
      <alignment horizontal="right" vertical="center"/>
    </xf>
    <xf numFmtId="0" fontId="11" fillId="11" borderId="17" xfId="0" applyFont="1" applyFill="1" applyBorder="1" applyAlignment="1">
      <alignment horizontal="center" vertical="center"/>
    </xf>
    <xf numFmtId="171" fontId="7" fillId="0" borderId="17" xfId="0" applyNumberFormat="1" applyFont="1" applyBorder="1" applyAlignment="1">
      <alignment horizontal="center" vertical="center"/>
    </xf>
    <xf numFmtId="1" fontId="7" fillId="10" borderId="75" xfId="0" applyNumberFormat="1" applyFont="1" applyFill="1" applyBorder="1" applyAlignment="1">
      <alignment horizontal="center"/>
    </xf>
    <xf numFmtId="4" fontId="8" fillId="16" borderId="4" xfId="0" applyNumberFormat="1" applyFont="1" applyFill="1" applyBorder="1" applyAlignment="1">
      <alignment horizontal="center" vertical="center"/>
    </xf>
    <xf numFmtId="173" fontId="5" fillId="17" borderId="4" xfId="0" applyNumberFormat="1" applyFont="1" applyFill="1" applyBorder="1" applyAlignment="1">
      <alignment horizontal="center" vertical="center"/>
    </xf>
    <xf numFmtId="1" fontId="26" fillId="5" borderId="76" xfId="0" applyNumberFormat="1" applyFont="1" applyFill="1" applyBorder="1" applyAlignment="1">
      <alignment horizontal="center" vertical="center"/>
    </xf>
    <xf numFmtId="1" fontId="37" fillId="2" borderId="75" xfId="0" applyNumberFormat="1" applyFont="1" applyFill="1" applyBorder="1" applyAlignment="1">
      <alignment vertical="center"/>
    </xf>
    <xf numFmtId="1" fontId="7" fillId="10" borderId="75" xfId="0" applyNumberFormat="1" applyFont="1" applyFill="1" applyBorder="1"/>
    <xf numFmtId="9" fontId="7" fillId="9" borderId="57" xfId="0" applyNumberFormat="1" applyFont="1" applyFill="1" applyBorder="1" applyAlignment="1">
      <alignment horizontal="center" vertical="center"/>
    </xf>
    <xf numFmtId="0" fontId="11" fillId="0" borderId="57" xfId="0" applyFont="1" applyBorder="1" applyAlignment="1">
      <alignment horizontal="center"/>
    </xf>
    <xf numFmtId="0" fontId="11" fillId="9" borderId="57" xfId="0" applyFont="1" applyFill="1" applyBorder="1" applyAlignment="1">
      <alignment horizontal="right" vertical="center"/>
    </xf>
    <xf numFmtId="0" fontId="11" fillId="11" borderId="14" xfId="0" applyFont="1" applyFill="1" applyBorder="1" applyAlignment="1">
      <alignment horizontal="center" vertical="center"/>
    </xf>
    <xf numFmtId="171" fontId="7" fillId="0" borderId="14" xfId="0" applyNumberFormat="1" applyFont="1" applyBorder="1" applyAlignment="1">
      <alignment horizontal="center" vertical="center"/>
    </xf>
    <xf numFmtId="1" fontId="7" fillId="10" borderId="59" xfId="0" applyNumberFormat="1" applyFont="1" applyFill="1" applyBorder="1" applyAlignment="1">
      <alignment horizontal="center"/>
    </xf>
    <xf numFmtId="4" fontId="8" fillId="16" borderId="57" xfId="0" applyNumberFormat="1" applyFont="1" applyFill="1" applyBorder="1" applyAlignment="1">
      <alignment horizontal="center" vertical="center"/>
    </xf>
    <xf numFmtId="1" fontId="26" fillId="5" borderId="58" xfId="0" applyNumberFormat="1" applyFont="1" applyFill="1" applyBorder="1" applyAlignment="1">
      <alignment horizontal="center" vertical="center"/>
    </xf>
    <xf numFmtId="1" fontId="37" fillId="9" borderId="59" xfId="0" applyNumberFormat="1" applyFont="1" applyFill="1" applyBorder="1" applyAlignment="1">
      <alignment vertical="center"/>
    </xf>
    <xf numFmtId="1" fontId="7" fillId="10" borderId="59" xfId="0" applyNumberFormat="1" applyFont="1" applyFill="1" applyBorder="1"/>
    <xf numFmtId="0" fontId="7" fillId="2" borderId="18" xfId="0" applyFont="1" applyFill="1" applyBorder="1"/>
    <xf numFmtId="9" fontId="7" fillId="0" borderId="4" xfId="0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73" fontId="26" fillId="5" borderId="76" xfId="0" applyNumberFormat="1" applyFont="1" applyFill="1" applyBorder="1" applyAlignment="1">
      <alignment vertical="center"/>
    </xf>
    <xf numFmtId="1" fontId="5" fillId="3" borderId="75" xfId="0" applyNumberFormat="1" applyFont="1" applyFill="1" applyBorder="1" applyAlignment="1">
      <alignment vertical="center"/>
    </xf>
    <xf numFmtId="9" fontId="7" fillId="0" borderId="57" xfId="0" applyNumberFormat="1" applyFont="1" applyBorder="1" applyAlignment="1">
      <alignment horizontal="center" vertical="center"/>
    </xf>
    <xf numFmtId="173" fontId="5" fillId="3" borderId="57" xfId="0" applyNumberFormat="1" applyFont="1" applyFill="1" applyBorder="1" applyAlignment="1">
      <alignment horizontal="center" vertical="center"/>
    </xf>
    <xf numFmtId="0" fontId="7" fillId="0" borderId="78" xfId="0" applyFont="1" applyBorder="1"/>
    <xf numFmtId="9" fontId="7" fillId="9" borderId="82" xfId="0" applyNumberFormat="1" applyFont="1" applyFill="1" applyBorder="1" applyAlignment="1">
      <alignment horizontal="center" vertical="center"/>
    </xf>
    <xf numFmtId="9" fontId="7" fillId="0" borderId="82" xfId="0" applyNumberFormat="1" applyFont="1" applyBorder="1" applyAlignment="1">
      <alignment vertical="center"/>
    </xf>
    <xf numFmtId="0" fontId="11" fillId="0" borderId="82" xfId="0" applyFont="1" applyBorder="1" applyAlignment="1">
      <alignment horizontal="center"/>
    </xf>
    <xf numFmtId="0" fontId="11" fillId="9" borderId="82" xfId="0" applyFont="1" applyFill="1" applyBorder="1" applyAlignment="1">
      <alignment horizontal="right" vertical="center"/>
    </xf>
    <xf numFmtId="0" fontId="11" fillId="11" borderId="83" xfId="0" applyFont="1" applyFill="1" applyBorder="1" applyAlignment="1">
      <alignment horizontal="center" vertical="center"/>
    </xf>
    <xf numFmtId="171" fontId="7" fillId="0" borderId="83" xfId="0" applyNumberFormat="1" applyFont="1" applyBorder="1" applyAlignment="1">
      <alignment horizontal="center" vertical="center"/>
    </xf>
    <xf numFmtId="1" fontId="7" fillId="10" borderId="84" xfId="0" applyNumberFormat="1" applyFont="1" applyFill="1" applyBorder="1" applyAlignment="1">
      <alignment horizontal="center"/>
    </xf>
    <xf numFmtId="4" fontId="8" fillId="16" borderId="82" xfId="0" applyNumberFormat="1" applyFont="1" applyFill="1" applyBorder="1" applyAlignment="1">
      <alignment horizontal="center" vertical="center"/>
    </xf>
    <xf numFmtId="176" fontId="5" fillId="3" borderId="82" xfId="0" applyNumberFormat="1" applyFont="1" applyFill="1" applyBorder="1" applyAlignment="1">
      <alignment horizontal="center" vertical="center"/>
    </xf>
    <xf numFmtId="1" fontId="26" fillId="5" borderId="85" xfId="0" applyNumberFormat="1" applyFont="1" applyFill="1" applyBorder="1" applyAlignment="1">
      <alignment horizontal="center" vertical="center"/>
    </xf>
    <xf numFmtId="1" fontId="37" fillId="9" borderId="84" xfId="0" applyNumberFormat="1" applyFont="1" applyFill="1" applyBorder="1" applyAlignment="1">
      <alignment vertical="center"/>
    </xf>
    <xf numFmtId="1" fontId="6" fillId="5" borderId="83" xfId="0" applyNumberFormat="1" applyFont="1" applyFill="1" applyBorder="1"/>
    <xf numFmtId="0" fontId="7" fillId="2" borderId="86" xfId="0" applyFont="1" applyFill="1" applyBorder="1"/>
    <xf numFmtId="9" fontId="7" fillId="9" borderId="93" xfId="0" applyNumberFormat="1" applyFont="1" applyFill="1" applyBorder="1" applyAlignment="1">
      <alignment horizontal="center" vertical="center"/>
    </xf>
    <xf numFmtId="9" fontId="7" fillId="0" borderId="93" xfId="0" applyNumberFormat="1" applyFont="1" applyBorder="1" applyAlignment="1">
      <alignment vertical="center"/>
    </xf>
    <xf numFmtId="0" fontId="11" fillId="0" borderId="93" xfId="0" applyFont="1" applyBorder="1" applyAlignment="1">
      <alignment horizontal="center"/>
    </xf>
    <xf numFmtId="0" fontId="11" fillId="9" borderId="93" xfId="0" applyFont="1" applyFill="1" applyBorder="1" applyAlignment="1">
      <alignment horizontal="right" vertical="center"/>
    </xf>
    <xf numFmtId="0" fontId="11" fillId="11" borderId="94" xfId="0" applyFont="1" applyFill="1" applyBorder="1" applyAlignment="1">
      <alignment horizontal="center" vertical="center"/>
    </xf>
    <xf numFmtId="171" fontId="7" fillId="0" borderId="94" xfId="0" applyNumberFormat="1" applyFont="1" applyBorder="1" applyAlignment="1">
      <alignment horizontal="center" vertical="center"/>
    </xf>
    <xf numFmtId="1" fontId="7" fillId="10" borderId="95" xfId="0" applyNumberFormat="1" applyFont="1" applyFill="1" applyBorder="1" applyAlignment="1">
      <alignment horizontal="center"/>
    </xf>
    <xf numFmtId="4" fontId="8" fillId="16" borderId="93" xfId="0" applyNumberFormat="1" applyFont="1" applyFill="1" applyBorder="1" applyAlignment="1">
      <alignment horizontal="center" vertical="center"/>
    </xf>
    <xf numFmtId="176" fontId="5" fillId="3" borderId="93" xfId="0" applyNumberFormat="1" applyFont="1" applyFill="1" applyBorder="1" applyAlignment="1">
      <alignment horizontal="center" vertical="center"/>
    </xf>
    <xf numFmtId="1" fontId="26" fillId="5" borderId="96" xfId="0" applyNumberFormat="1" applyFont="1" applyFill="1" applyBorder="1" applyAlignment="1">
      <alignment horizontal="center" vertical="center"/>
    </xf>
    <xf numFmtId="1" fontId="37" fillId="9" borderId="95" xfId="0" applyNumberFormat="1" applyFont="1" applyFill="1" applyBorder="1" applyAlignment="1">
      <alignment vertical="center"/>
    </xf>
    <xf numFmtId="1" fontId="7" fillId="10" borderId="95" xfId="0" applyNumberFormat="1" applyFont="1" applyFill="1" applyBorder="1"/>
    <xf numFmtId="0" fontId="7" fillId="2" borderId="97" xfId="0" applyFont="1" applyFill="1" applyBorder="1"/>
    <xf numFmtId="9" fontId="7" fillId="9" borderId="3" xfId="0" applyNumberFormat="1" applyFont="1" applyFill="1" applyBorder="1" applyAlignment="1">
      <alignment horizontal="center" vertical="center"/>
    </xf>
    <xf numFmtId="9" fontId="7" fillId="0" borderId="3" xfId="0" applyNumberFormat="1" applyFont="1" applyBorder="1" applyAlignment="1">
      <alignment vertical="center"/>
    </xf>
    <xf numFmtId="0" fontId="11" fillId="0" borderId="3" xfId="0" applyFont="1" applyBorder="1" applyAlignment="1">
      <alignment horizontal="center"/>
    </xf>
    <xf numFmtId="0" fontId="11" fillId="9" borderId="3" xfId="0" applyFont="1" applyFill="1" applyBorder="1" applyAlignment="1">
      <alignment horizontal="right" vertical="center"/>
    </xf>
    <xf numFmtId="0" fontId="11" fillId="11" borderId="43" xfId="0" applyFont="1" applyFill="1" applyBorder="1" applyAlignment="1">
      <alignment horizontal="center" vertical="center"/>
    </xf>
    <xf numFmtId="171" fontId="7" fillId="0" borderId="43" xfId="0" applyNumberFormat="1" applyFont="1" applyBorder="1" applyAlignment="1">
      <alignment horizontal="center" vertical="center"/>
    </xf>
    <xf numFmtId="1" fontId="7" fillId="10" borderId="55" xfId="0" applyNumberFormat="1" applyFont="1" applyFill="1" applyBorder="1" applyAlignment="1">
      <alignment horizontal="center"/>
    </xf>
    <xf numFmtId="4" fontId="8" fillId="16" borderId="3" xfId="0" applyNumberFormat="1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/>
    </xf>
    <xf numFmtId="1" fontId="26" fillId="5" borderId="77" xfId="0" applyNumberFormat="1" applyFont="1" applyFill="1" applyBorder="1" applyAlignment="1">
      <alignment horizontal="center" vertical="center"/>
    </xf>
    <xf numFmtId="1" fontId="37" fillId="9" borderId="55" xfId="0" applyNumberFormat="1" applyFont="1" applyFill="1" applyBorder="1" applyAlignment="1">
      <alignment vertical="center"/>
    </xf>
    <xf numFmtId="1" fontId="7" fillId="10" borderId="55" xfId="0" applyNumberFormat="1" applyFont="1" applyFill="1" applyBorder="1"/>
    <xf numFmtId="173" fontId="30" fillId="9" borderId="43" xfId="0" applyNumberFormat="1" applyFont="1" applyFill="1" applyBorder="1" applyAlignment="1">
      <alignment horizontal="center" vertical="center"/>
    </xf>
    <xf numFmtId="1" fontId="6" fillId="5" borderId="53" xfId="0" applyNumberFormat="1" applyFont="1" applyFill="1" applyBorder="1"/>
    <xf numFmtId="0" fontId="17" fillId="9" borderId="0" xfId="0" applyFont="1" applyFill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/>
    </xf>
    <xf numFmtId="0" fontId="7" fillId="0" borderId="35" xfId="0" applyFont="1" applyBorder="1" applyAlignment="1">
      <alignment vertical="center"/>
    </xf>
    <xf numFmtId="0" fontId="48" fillId="0" borderId="29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8" fillId="0" borderId="1" xfId="0" applyFont="1" applyBorder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175" fontId="5" fillId="8" borderId="43" xfId="0" applyNumberFormat="1" applyFont="1" applyFill="1" applyBorder="1" applyAlignment="1">
      <alignment horizontal="center"/>
    </xf>
    <xf numFmtId="175" fontId="5" fillId="8" borderId="0" xfId="0" applyNumberFormat="1" applyFont="1" applyFill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7" fillId="16" borderId="29" xfId="0" applyFont="1" applyFill="1" applyBorder="1" applyAlignment="1">
      <alignment horizontal="center" vertical="center"/>
    </xf>
    <xf numFmtId="0" fontId="7" fillId="16" borderId="35" xfId="0" applyFont="1" applyFill="1" applyBorder="1" applyAlignment="1">
      <alignment horizontal="center" vertical="center"/>
    </xf>
    <xf numFmtId="173" fontId="18" fillId="16" borderId="29" xfId="0" applyNumberFormat="1" applyFont="1" applyFill="1" applyBorder="1" applyAlignment="1">
      <alignment horizontal="center" vertical="center"/>
    </xf>
    <xf numFmtId="173" fontId="18" fillId="16" borderId="52" xfId="0" applyNumberFormat="1" applyFont="1" applyFill="1" applyBorder="1" applyAlignment="1">
      <alignment horizontal="center" vertical="center"/>
    </xf>
    <xf numFmtId="173" fontId="18" fillId="16" borderId="35" xfId="0" applyNumberFormat="1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165" fontId="7" fillId="5" borderId="50" xfId="0" applyNumberFormat="1" applyFont="1" applyFill="1" applyBorder="1" applyAlignment="1">
      <alignment horizontal="center"/>
    </xf>
    <xf numFmtId="165" fontId="7" fillId="5" borderId="28" xfId="0" applyNumberFormat="1" applyFont="1" applyFill="1" applyBorder="1" applyAlignment="1">
      <alignment horizontal="center"/>
    </xf>
    <xf numFmtId="165" fontId="7" fillId="5" borderId="31" xfId="0" applyNumberFormat="1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47" xfId="0" applyFont="1" applyFill="1" applyBorder="1" applyAlignment="1">
      <alignment horizontal="center" vertical="center"/>
    </xf>
    <xf numFmtId="9" fontId="29" fillId="4" borderId="0" xfId="0" applyNumberFormat="1" applyFont="1" applyFill="1" applyAlignment="1">
      <alignment horizontal="center" vertical="center"/>
    </xf>
    <xf numFmtId="9" fontId="29" fillId="4" borderId="46" xfId="0" applyNumberFormat="1" applyFont="1" applyFill="1" applyBorder="1" applyAlignment="1">
      <alignment horizontal="center" vertical="center"/>
    </xf>
    <xf numFmtId="9" fontId="28" fillId="17" borderId="80" xfId="0" applyNumberFormat="1" applyFont="1" applyFill="1" applyBorder="1" applyAlignment="1">
      <alignment horizontal="center" vertical="center"/>
    </xf>
    <xf numFmtId="9" fontId="28" fillId="17" borderId="81" xfId="0" applyNumberFormat="1" applyFont="1" applyFill="1" applyBorder="1" applyAlignment="1">
      <alignment horizontal="center" vertical="center"/>
    </xf>
    <xf numFmtId="9" fontId="28" fillId="17" borderId="0" xfId="0" applyNumberFormat="1" applyFont="1" applyFill="1" applyAlignment="1">
      <alignment horizontal="center" vertical="center"/>
    </xf>
    <xf numFmtId="9" fontId="28" fillId="17" borderId="46" xfId="0" applyNumberFormat="1" applyFont="1" applyFill="1" applyBorder="1" applyAlignment="1">
      <alignment horizontal="center" vertical="center"/>
    </xf>
    <xf numFmtId="9" fontId="28" fillId="17" borderId="13" xfId="0" applyNumberFormat="1" applyFont="1" applyFill="1" applyBorder="1" applyAlignment="1">
      <alignment horizontal="center" vertical="center"/>
    </xf>
    <xf numFmtId="9" fontId="28" fillId="17" borderId="19" xfId="0" applyNumberFormat="1" applyFont="1" applyFill="1" applyBorder="1" applyAlignment="1">
      <alignment horizontal="center" vertical="center"/>
    </xf>
    <xf numFmtId="9" fontId="8" fillId="16" borderId="0" xfId="0" applyNumberFormat="1" applyFont="1" applyFill="1" applyAlignment="1">
      <alignment horizontal="center" vertical="center"/>
    </xf>
    <xf numFmtId="9" fontId="8" fillId="16" borderId="46" xfId="0" applyNumberFormat="1" applyFont="1" applyFill="1" applyBorder="1" applyAlignment="1">
      <alignment horizontal="center" vertical="center"/>
    </xf>
    <xf numFmtId="173" fontId="30" fillId="9" borderId="87" xfId="0" applyNumberFormat="1" applyFont="1" applyFill="1" applyBorder="1" applyAlignment="1">
      <alignment horizontal="center" vertical="center"/>
    </xf>
    <xf numFmtId="173" fontId="30" fillId="9" borderId="89" xfId="0" applyNumberFormat="1" applyFont="1" applyFill="1" applyBorder="1" applyAlignment="1">
      <alignment horizontal="center" vertical="center"/>
    </xf>
    <xf numFmtId="173" fontId="30" fillId="9" borderId="98" xfId="0" applyNumberFormat="1" applyFont="1" applyFill="1" applyBorder="1" applyAlignment="1">
      <alignment horizontal="center" vertical="center"/>
    </xf>
    <xf numFmtId="9" fontId="8" fillId="9" borderId="79" xfId="0" applyNumberFormat="1" applyFont="1" applyFill="1" applyBorder="1" applyAlignment="1">
      <alignment horizontal="center" vertical="center"/>
    </xf>
    <xf numFmtId="9" fontId="8" fillId="9" borderId="80" xfId="0" applyNumberFormat="1" applyFont="1" applyFill="1" applyBorder="1" applyAlignment="1">
      <alignment horizontal="center" vertical="center"/>
    </xf>
    <xf numFmtId="9" fontId="8" fillId="9" borderId="81" xfId="0" applyNumberFormat="1" applyFont="1" applyFill="1" applyBorder="1" applyAlignment="1">
      <alignment horizontal="center" vertical="center"/>
    </xf>
    <xf numFmtId="9" fontId="8" fillId="9" borderId="88" xfId="0" applyNumberFormat="1" applyFont="1" applyFill="1" applyBorder="1" applyAlignment="1">
      <alignment horizontal="center" vertical="center"/>
    </xf>
    <xf numFmtId="9" fontId="8" fillId="9" borderId="0" xfId="0" applyNumberFormat="1" applyFont="1" applyFill="1" applyAlignment="1">
      <alignment horizontal="center" vertical="center"/>
    </xf>
    <xf numFmtId="9" fontId="8" fillId="9" borderId="46" xfId="0" applyNumberFormat="1" applyFont="1" applyFill="1" applyBorder="1" applyAlignment="1">
      <alignment horizontal="center" vertical="center"/>
    </xf>
    <xf numFmtId="9" fontId="8" fillId="9" borderId="90" xfId="0" applyNumberFormat="1" applyFont="1" applyFill="1" applyBorder="1" applyAlignment="1">
      <alignment horizontal="center" vertical="center"/>
    </xf>
    <xf numFmtId="9" fontId="8" fillId="9" borderId="91" xfId="0" applyNumberFormat="1" applyFont="1" applyFill="1" applyBorder="1" applyAlignment="1">
      <alignment horizontal="center" vertical="center"/>
    </xf>
    <xf numFmtId="9" fontId="8" fillId="9" borderId="92" xfId="0" applyNumberFormat="1" applyFont="1" applyFill="1" applyBorder="1" applyAlignment="1">
      <alignment horizontal="center" vertical="center"/>
    </xf>
    <xf numFmtId="173" fontId="30" fillId="27" borderId="77" xfId="0" applyNumberFormat="1" applyFont="1" applyFill="1" applyBorder="1" applyAlignment="1">
      <alignment horizontal="center" vertical="center"/>
    </xf>
    <xf numFmtId="173" fontId="30" fillId="27" borderId="20" xfId="0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wrapText="1"/>
    </xf>
    <xf numFmtId="0" fontId="0" fillId="0" borderId="29" xfId="0" applyBorder="1" applyAlignment="1">
      <alignment vertical="center"/>
    </xf>
    <xf numFmtId="0" fontId="7" fillId="0" borderId="35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48" fillId="0" borderId="29" xfId="0" applyFont="1" applyBorder="1" applyAlignment="1">
      <alignment vertical="center"/>
    </xf>
    <xf numFmtId="167" fontId="7" fillId="6" borderId="29" xfId="0" applyNumberFormat="1" applyFont="1" applyFill="1" applyBorder="1" applyAlignment="1">
      <alignment horizontal="center"/>
    </xf>
    <xf numFmtId="167" fontId="7" fillId="6" borderId="35" xfId="0" applyNumberFormat="1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left" vertical="center"/>
    </xf>
    <xf numFmtId="0" fontId="48" fillId="0" borderId="35" xfId="0" applyFont="1" applyBorder="1" applyAlignment="1">
      <alignment horizontal="left" vertical="center"/>
    </xf>
    <xf numFmtId="0" fontId="48" fillId="0" borderId="35" xfId="0" applyFont="1" applyBorder="1" applyAlignment="1">
      <alignment vertical="center"/>
    </xf>
    <xf numFmtId="0" fontId="4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8" borderId="21" xfId="0" applyFont="1" applyFill="1" applyBorder="1" applyAlignment="1">
      <alignment horizontal="center" vertical="center"/>
    </xf>
    <xf numFmtId="0" fontId="45" fillId="18" borderId="72" xfId="0" applyFont="1" applyFill="1" applyBorder="1" applyAlignment="1">
      <alignment vertical="top" wrapText="1" indent="1"/>
    </xf>
    <xf numFmtId="0" fontId="45" fillId="18" borderId="73" xfId="0" applyFont="1" applyFill="1" applyBorder="1" applyAlignment="1">
      <alignment vertical="top" wrapText="1" indent="1"/>
    </xf>
    <xf numFmtId="0" fontId="45" fillId="18" borderId="72" xfId="0" applyFont="1" applyFill="1" applyBorder="1" applyAlignment="1">
      <alignment horizontal="center" vertical="top" wrapText="1"/>
    </xf>
    <xf numFmtId="0" fontId="45" fillId="18" borderId="73" xfId="0" applyFont="1" applyFill="1" applyBorder="1" applyAlignment="1">
      <alignment horizontal="center" vertical="top" wrapText="1"/>
    </xf>
    <xf numFmtId="0" fontId="47" fillId="18" borderId="72" xfId="0" applyFont="1" applyFill="1" applyBorder="1" applyAlignment="1">
      <alignment horizontal="left" vertical="top" wrapText="1" indent="1"/>
    </xf>
    <xf numFmtId="0" fontId="47" fillId="18" borderId="73" xfId="0" applyFont="1" applyFill="1" applyBorder="1" applyAlignment="1">
      <alignment horizontal="left" vertical="top" wrapText="1" indent="1"/>
    </xf>
    <xf numFmtId="0" fontId="47" fillId="18" borderId="72" xfId="0" applyFont="1" applyFill="1" applyBorder="1" applyAlignment="1">
      <alignment vertical="top"/>
    </xf>
    <xf numFmtId="0" fontId="47" fillId="18" borderId="73" xfId="0" applyFont="1" applyFill="1" applyBorder="1" applyAlignment="1">
      <alignment vertical="top"/>
    </xf>
    <xf numFmtId="0" fontId="16" fillId="18" borderId="72" xfId="1" applyFill="1" applyBorder="1" applyAlignment="1">
      <alignment vertical="top" wrapText="1" indent="1"/>
    </xf>
    <xf numFmtId="0" fontId="16" fillId="18" borderId="73" xfId="1" applyFill="1" applyBorder="1" applyAlignment="1">
      <alignment vertical="top" wrapText="1" indent="1"/>
    </xf>
    <xf numFmtId="22" fontId="45" fillId="18" borderId="72" xfId="0" applyNumberFormat="1" applyFont="1" applyFill="1" applyBorder="1" applyAlignment="1">
      <alignment vertical="top" wrapText="1" indent="1"/>
    </xf>
    <xf numFmtId="22" fontId="45" fillId="18" borderId="73" xfId="0" applyNumberFormat="1" applyFont="1" applyFill="1" applyBorder="1" applyAlignment="1">
      <alignment vertical="top" wrapText="1" indent="1"/>
    </xf>
    <xf numFmtId="0" fontId="45" fillId="18" borderId="72" xfId="0" applyFont="1" applyFill="1" applyBorder="1" applyAlignment="1">
      <alignment horizontal="right" vertical="top" wrapText="1" indent="1"/>
    </xf>
    <xf numFmtId="0" fontId="45" fillId="18" borderId="73" xfId="0" applyFont="1" applyFill="1" applyBorder="1" applyAlignment="1">
      <alignment horizontal="right" vertical="top" wrapText="1" indent="1"/>
    </xf>
    <xf numFmtId="0" fontId="47" fillId="18" borderId="72" xfId="0" applyFont="1" applyFill="1" applyBorder="1" applyAlignment="1">
      <alignment vertical="top" wrapText="1" indent="1"/>
    </xf>
    <xf numFmtId="0" fontId="47" fillId="18" borderId="73" xfId="0" applyFont="1" applyFill="1" applyBorder="1" applyAlignment="1">
      <alignment vertical="top" wrapText="1" indent="1"/>
    </xf>
    <xf numFmtId="0" fontId="45" fillId="20" borderId="72" xfId="0" applyFont="1" applyFill="1" applyBorder="1" applyAlignment="1">
      <alignment vertical="top" wrapText="1" indent="1"/>
    </xf>
    <xf numFmtId="0" fontId="45" fillId="20" borderId="73" xfId="0" applyFont="1" applyFill="1" applyBorder="1" applyAlignment="1">
      <alignment vertical="top" wrapText="1" indent="1"/>
    </xf>
    <xf numFmtId="0" fontId="47" fillId="20" borderId="72" xfId="0" applyFont="1" applyFill="1" applyBorder="1" applyAlignment="1">
      <alignment horizontal="left" vertical="top" wrapText="1" indent="1"/>
    </xf>
    <xf numFmtId="0" fontId="47" fillId="20" borderId="73" xfId="0" applyFont="1" applyFill="1" applyBorder="1" applyAlignment="1">
      <alignment horizontal="left" vertical="top" wrapText="1" indent="1"/>
    </xf>
    <xf numFmtId="0" fontId="47" fillId="20" borderId="72" xfId="0" applyFont="1" applyFill="1" applyBorder="1" applyAlignment="1">
      <alignment vertical="top"/>
    </xf>
    <xf numFmtId="0" fontId="47" fillId="20" borderId="73" xfId="0" applyFont="1" applyFill="1" applyBorder="1" applyAlignment="1">
      <alignment vertical="top"/>
    </xf>
    <xf numFmtId="0" fontId="47" fillId="20" borderId="72" xfId="0" applyFont="1" applyFill="1" applyBorder="1" applyAlignment="1">
      <alignment vertical="top" wrapText="1" indent="1"/>
    </xf>
    <xf numFmtId="0" fontId="47" fillId="20" borderId="73" xfId="0" applyFont="1" applyFill="1" applyBorder="1" applyAlignment="1">
      <alignment vertical="top" wrapText="1" indent="1"/>
    </xf>
    <xf numFmtId="0" fontId="16" fillId="20" borderId="72" xfId="1" applyFill="1" applyBorder="1" applyAlignment="1">
      <alignment vertical="top" wrapText="1" indent="1"/>
    </xf>
    <xf numFmtId="0" fontId="16" fillId="20" borderId="73" xfId="1" applyFill="1" applyBorder="1" applyAlignment="1">
      <alignment vertical="top" wrapText="1" indent="1"/>
    </xf>
    <xf numFmtId="22" fontId="45" fillId="20" borderId="72" xfId="0" applyNumberFormat="1" applyFont="1" applyFill="1" applyBorder="1" applyAlignment="1">
      <alignment vertical="top" wrapText="1" indent="1"/>
    </xf>
    <xf numFmtId="22" fontId="45" fillId="20" borderId="73" xfId="0" applyNumberFormat="1" applyFont="1" applyFill="1" applyBorder="1" applyAlignment="1">
      <alignment vertical="top" wrapText="1" indent="1"/>
    </xf>
    <xf numFmtId="0" fontId="45" fillId="20" borderId="72" xfId="0" applyFont="1" applyFill="1" applyBorder="1" applyAlignment="1">
      <alignment horizontal="right" vertical="top" wrapText="1" indent="1"/>
    </xf>
    <xf numFmtId="0" fontId="45" fillId="20" borderId="73" xfId="0" applyFont="1" applyFill="1" applyBorder="1" applyAlignment="1">
      <alignment horizontal="right" vertical="top" wrapText="1" indent="1"/>
    </xf>
    <xf numFmtId="0" fontId="45" fillId="20" borderId="72" xfId="0" applyFont="1" applyFill="1" applyBorder="1" applyAlignment="1">
      <alignment horizontal="center" vertical="top" wrapText="1"/>
    </xf>
    <xf numFmtId="0" fontId="45" fillId="20" borderId="73" xfId="0" applyFont="1" applyFill="1" applyBorder="1" applyAlignment="1">
      <alignment horizontal="center" vertical="top" wrapText="1"/>
    </xf>
    <xf numFmtId="0" fontId="0" fillId="0" borderId="14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32" fillId="9" borderId="1" xfId="0" applyFont="1" applyFill="1" applyBorder="1" applyAlignment="1">
      <alignment horizontal="center" vertical="center" wrapText="1"/>
    </xf>
    <xf numFmtId="0" fontId="32" fillId="19" borderId="54" xfId="0" applyFont="1" applyFill="1" applyBorder="1" applyAlignment="1">
      <alignment horizontal="center" vertical="center"/>
    </xf>
    <xf numFmtId="0" fontId="32" fillId="19" borderId="55" xfId="0" applyFont="1" applyFill="1" applyBorder="1" applyAlignment="1">
      <alignment horizontal="center" vertical="center"/>
    </xf>
    <xf numFmtId="0" fontId="32" fillId="19" borderId="56" xfId="0" applyFont="1" applyFill="1" applyBorder="1" applyAlignment="1">
      <alignment horizontal="center" vertical="center"/>
    </xf>
    <xf numFmtId="0" fontId="31" fillId="9" borderId="0" xfId="0" applyFont="1" applyFill="1" applyAlignment="1">
      <alignment horizontal="center"/>
    </xf>
    <xf numFmtId="0" fontId="32" fillId="9" borderId="50" xfId="0" applyFont="1" applyFill="1" applyBorder="1" applyAlignment="1">
      <alignment horizontal="center" vertical="center" wrapText="1"/>
    </xf>
    <xf numFmtId="0" fontId="32" fillId="9" borderId="31" xfId="0" applyFont="1" applyFill="1" applyBorder="1" applyAlignment="1">
      <alignment horizontal="center" vertical="center" wrapText="1"/>
    </xf>
    <xf numFmtId="0" fontId="32" fillId="19" borderId="54" xfId="0" applyFont="1" applyFill="1" applyBorder="1" applyAlignment="1">
      <alignment horizontal="center" vertical="center" wrapText="1"/>
    </xf>
    <xf numFmtId="0" fontId="32" fillId="19" borderId="55" xfId="0" applyFont="1" applyFill="1" applyBorder="1" applyAlignment="1">
      <alignment horizontal="center" vertical="center" wrapText="1"/>
    </xf>
    <xf numFmtId="0" fontId="32" fillId="19" borderId="56" xfId="0" applyFont="1" applyFill="1" applyBorder="1" applyAlignment="1">
      <alignment horizontal="center" vertical="center" wrapText="1"/>
    </xf>
    <xf numFmtId="0" fontId="32" fillId="9" borderId="54" xfId="0" applyFont="1" applyFill="1" applyBorder="1" applyAlignment="1">
      <alignment horizontal="center" vertical="center"/>
    </xf>
    <xf numFmtId="0" fontId="32" fillId="9" borderId="55" xfId="0" applyFont="1" applyFill="1" applyBorder="1" applyAlignment="1">
      <alignment horizontal="center" vertical="center"/>
    </xf>
    <xf numFmtId="0" fontId="32" fillId="9" borderId="56" xfId="0" applyFont="1" applyFill="1" applyBorder="1" applyAlignment="1">
      <alignment horizontal="center" vertical="center"/>
    </xf>
    <xf numFmtId="0" fontId="32" fillId="9" borderId="55" xfId="0" applyFont="1" applyFill="1" applyBorder="1" applyAlignment="1">
      <alignment horizontal="center" vertical="center" wrapText="1"/>
    </xf>
    <xf numFmtId="0" fontId="32" fillId="9" borderId="56" xfId="0" applyFont="1" applyFill="1" applyBorder="1" applyAlignment="1">
      <alignment horizontal="center" vertical="center" wrapText="1"/>
    </xf>
    <xf numFmtId="0" fontId="32" fillId="5" borderId="5" xfId="0" applyFont="1" applyFill="1" applyBorder="1" applyAlignment="1">
      <alignment horizontal="center" vertical="center"/>
    </xf>
    <xf numFmtId="0" fontId="32" fillId="5" borderId="23" xfId="0" applyFont="1" applyFill="1" applyBorder="1" applyAlignment="1">
      <alignment horizontal="center" vertical="center"/>
    </xf>
    <xf numFmtId="0" fontId="32" fillId="5" borderId="5" xfId="0" applyFont="1" applyFill="1" applyBorder="1" applyAlignment="1">
      <alignment horizontal="center" vertical="center" wrapText="1"/>
    </xf>
    <xf numFmtId="0" fontId="32" fillId="5" borderId="23" xfId="0" applyFont="1" applyFill="1" applyBorder="1" applyAlignment="1">
      <alignment horizontal="center" vertical="center" wrapText="1"/>
    </xf>
    <xf numFmtId="0" fontId="32" fillId="9" borderId="54" xfId="0" applyFont="1" applyFill="1" applyBorder="1" applyAlignment="1">
      <alignment horizontal="center" vertical="center" wrapText="1"/>
    </xf>
    <xf numFmtId="0" fontId="32" fillId="19" borderId="5" xfId="0" applyFont="1" applyFill="1" applyBorder="1" applyAlignment="1">
      <alignment horizontal="center" vertical="center"/>
    </xf>
    <xf numFmtId="0" fontId="32" fillId="19" borderId="23" xfId="0" applyFont="1" applyFill="1" applyBorder="1" applyAlignment="1">
      <alignment horizontal="center" vertical="center"/>
    </xf>
    <xf numFmtId="0" fontId="32" fillId="9" borderId="5" xfId="0" applyFont="1" applyFill="1" applyBorder="1" applyAlignment="1">
      <alignment horizontal="center" vertical="center"/>
    </xf>
    <xf numFmtId="0" fontId="32" fillId="9" borderId="23" xfId="0" applyFont="1" applyFill="1" applyBorder="1" applyAlignment="1">
      <alignment horizontal="center" vertical="center"/>
    </xf>
    <xf numFmtId="0" fontId="32" fillId="19" borderId="5" xfId="0" applyFont="1" applyFill="1" applyBorder="1" applyAlignment="1">
      <alignment horizontal="center" vertical="center" wrapText="1"/>
    </xf>
    <xf numFmtId="0" fontId="32" fillId="19" borderId="23" xfId="0" applyFont="1" applyFill="1" applyBorder="1" applyAlignment="1">
      <alignment horizontal="center" vertical="center" wrapText="1"/>
    </xf>
    <xf numFmtId="0" fontId="24" fillId="3" borderId="30" xfId="0" applyFont="1" applyFill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42" fillId="0" borderId="11" xfId="0" applyFont="1" applyBorder="1" applyAlignment="1">
      <alignment horizontal="center" textRotation="255" wrapText="1"/>
    </xf>
    <xf numFmtId="0" fontId="42" fillId="0" borderId="32" xfId="0" applyFont="1" applyBorder="1" applyAlignment="1">
      <alignment horizontal="center" textRotation="255" wrapText="1"/>
    </xf>
    <xf numFmtId="0" fontId="36" fillId="0" borderId="30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5" fillId="5" borderId="63" xfId="0" applyFont="1" applyFill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/>
    </xf>
    <xf numFmtId="0" fontId="5" fillId="21" borderId="63" xfId="0" applyFont="1" applyFill="1" applyBorder="1" applyAlignment="1">
      <alignment horizontal="center" vertical="center"/>
    </xf>
    <xf numFmtId="0" fontId="5" fillId="21" borderId="30" xfId="0" applyFont="1" applyFill="1" applyBorder="1" applyAlignment="1">
      <alignment horizontal="center" vertical="center"/>
    </xf>
    <xf numFmtId="0" fontId="5" fillId="22" borderId="61" xfId="0" applyFont="1" applyFill="1" applyBorder="1" applyAlignment="1">
      <alignment horizontal="center" vertical="center" wrapText="1"/>
    </xf>
    <xf numFmtId="0" fontId="5" fillId="22" borderId="64" xfId="0" applyFont="1" applyFill="1" applyBorder="1" applyAlignment="1">
      <alignment horizontal="center" vertical="center" wrapText="1"/>
    </xf>
    <xf numFmtId="0" fontId="5" fillId="23" borderId="65" xfId="0" applyFont="1" applyFill="1" applyBorder="1" applyAlignment="1">
      <alignment horizontal="center" vertical="center" wrapText="1"/>
    </xf>
    <xf numFmtId="0" fontId="5" fillId="23" borderId="67" xfId="0" applyFont="1" applyFill="1" applyBorder="1" applyAlignment="1">
      <alignment horizontal="center" vertical="center" wrapText="1"/>
    </xf>
    <xf numFmtId="0" fontId="8" fillId="9" borderId="30" xfId="0" applyFont="1" applyFill="1" applyBorder="1" applyAlignment="1">
      <alignment horizontal="center" vertical="center"/>
    </xf>
    <xf numFmtId="0" fontId="5" fillId="24" borderId="30" xfId="0" applyFont="1" applyFill="1" applyBorder="1" applyAlignment="1">
      <alignment horizontal="center" vertical="center" wrapText="1"/>
    </xf>
    <xf numFmtId="0" fontId="5" fillId="24" borderId="10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173" fontId="7" fillId="6" borderId="29" xfId="0" applyNumberFormat="1" applyFont="1" applyFill="1" applyBorder="1" applyAlignment="1">
      <alignment horizontal="center" vertical="center"/>
    </xf>
    <xf numFmtId="173" fontId="7" fillId="6" borderId="35" xfId="0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wrapText="1"/>
    </xf>
    <xf numFmtId="49" fontId="10" fillId="3" borderId="37" xfId="0" applyNumberFormat="1" applyFont="1" applyFill="1" applyBorder="1" applyAlignment="1">
      <alignment horizontal="center" vertical="center" textRotation="255"/>
    </xf>
    <xf numFmtId="49" fontId="10" fillId="3" borderId="43" xfId="0" applyNumberFormat="1" applyFont="1" applyFill="1" applyBorder="1" applyAlignment="1">
      <alignment horizontal="center" vertical="center" textRotation="255"/>
    </xf>
    <xf numFmtId="49" fontId="10" fillId="3" borderId="44" xfId="0" applyNumberFormat="1" applyFont="1" applyFill="1" applyBorder="1" applyAlignment="1">
      <alignment horizontal="center" vertical="center" textRotation="255"/>
    </xf>
    <xf numFmtId="0" fontId="0" fillId="0" borderId="29" xfId="0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center" vertical="center" textRotation="255"/>
    </xf>
    <xf numFmtId="49" fontId="10" fillId="3" borderId="3" xfId="0" applyNumberFormat="1" applyFont="1" applyFill="1" applyBorder="1" applyAlignment="1">
      <alignment horizontal="center" vertical="center" textRotation="255"/>
    </xf>
    <xf numFmtId="0" fontId="7" fillId="5" borderId="22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5" fontId="7" fillId="5" borderId="5" xfId="0" applyNumberFormat="1" applyFont="1" applyFill="1" applyBorder="1" applyAlignment="1">
      <alignment horizontal="center"/>
    </xf>
    <xf numFmtId="165" fontId="7" fillId="5" borderId="6" xfId="0" applyNumberFormat="1" applyFont="1" applyFill="1" applyBorder="1" applyAlignment="1">
      <alignment horizontal="center"/>
    </xf>
    <xf numFmtId="165" fontId="7" fillId="5" borderId="0" xfId="0" applyNumberFormat="1" applyFont="1" applyFill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wrapText="1"/>
    </xf>
    <xf numFmtId="167" fontId="0" fillId="6" borderId="36" xfId="0" applyNumberFormat="1" applyFill="1" applyBorder="1" applyAlignment="1">
      <alignment horizontal="center" wrapText="1"/>
    </xf>
    <xf numFmtId="0" fontId="8" fillId="9" borderId="0" xfId="0" applyFont="1" applyFill="1" applyAlignment="1">
      <alignment horizontal="center"/>
    </xf>
    <xf numFmtId="0" fontId="8" fillId="9" borderId="13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3300"/>
      <color rgb="FF04EC57"/>
      <color rgb="FFFF1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eltron.com.pe/modulos/productos/items/postsql.php?item_number=CPITG5925" TargetMode="External"/><Relationship Id="rId1" Type="http://schemas.openxmlformats.org/officeDocument/2006/relationships/hyperlink" Target="https://www.deltron.com.pe/modulos/productos/items/postsql.php?item_number=CPITG592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deltron.com.pe/modulos/productos/items/postsql.php?item_number=CPITG592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deltron.com.pe/modulos/productos/items/postsql.php?item_number=CPITG592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sellercenter.linio.com.pe/order/index/order-detail/filteredStatus/8/id/6856802" TargetMode="External"/><Relationship Id="rId18" Type="http://schemas.openxmlformats.org/officeDocument/2006/relationships/hyperlink" Target="https://sellercenter.linio.com.pe/order/index/order-detail/filteredStatus/8/id/6861226" TargetMode="External"/><Relationship Id="rId26" Type="http://schemas.openxmlformats.org/officeDocument/2006/relationships/hyperlink" Target="https://sellercenter.linio.com.pe/order/index/order-detail/filteredStatus/1/id/6861085" TargetMode="External"/><Relationship Id="rId39" Type="http://schemas.openxmlformats.org/officeDocument/2006/relationships/hyperlink" Target="https://sellercenter.linio.com.pe/order" TargetMode="External"/><Relationship Id="rId21" Type="http://schemas.openxmlformats.org/officeDocument/2006/relationships/hyperlink" Target="https://sellercenter.linio.com.pe/order" TargetMode="External"/><Relationship Id="rId34" Type="http://schemas.openxmlformats.org/officeDocument/2006/relationships/hyperlink" Target="https://sellercenter.linio.com.pe/order/index/order-detail/filteredStatus/1/id/6863219" TargetMode="External"/><Relationship Id="rId7" Type="http://schemas.openxmlformats.org/officeDocument/2006/relationships/hyperlink" Target="https://sellercenter.linio.com.pe/order/index/order-detail/filteredStatus/8/id/6852313" TargetMode="External"/><Relationship Id="rId2" Type="http://schemas.openxmlformats.org/officeDocument/2006/relationships/hyperlink" Target="https://sellercenter.linio.com.pe/order/index/order-detail/filteredStatus/8/id/6849181" TargetMode="External"/><Relationship Id="rId16" Type="http://schemas.openxmlformats.org/officeDocument/2006/relationships/hyperlink" Target="https://sellercenter.linio.com.pe/order/index/order-detail/filteredStatus/8/id/6858163" TargetMode="External"/><Relationship Id="rId20" Type="http://schemas.openxmlformats.org/officeDocument/2006/relationships/hyperlink" Target="https://sellercenter.linio.com.pe/order/index/order-detail/filteredStatus/8/id/6862019" TargetMode="External"/><Relationship Id="rId29" Type="http://schemas.openxmlformats.org/officeDocument/2006/relationships/hyperlink" Target="https://sellercenter.linio.com.pe/order" TargetMode="External"/><Relationship Id="rId41" Type="http://schemas.openxmlformats.org/officeDocument/2006/relationships/printerSettings" Target="../printerSettings/printerSettings6.bin"/><Relationship Id="rId1" Type="http://schemas.openxmlformats.org/officeDocument/2006/relationships/hyperlink" Target="https://sellercenter.linio.com.pe/order/index/order-detail/filteredStatus/8/id/6847564" TargetMode="External"/><Relationship Id="rId6" Type="http://schemas.openxmlformats.org/officeDocument/2006/relationships/hyperlink" Target="https://sellercenter.linio.com.pe/order/index/order-detail/filteredStatus/8/id/6851804" TargetMode="External"/><Relationship Id="rId11" Type="http://schemas.openxmlformats.org/officeDocument/2006/relationships/hyperlink" Target="https://sellercenter.linio.com.pe/order/index/order-detail/filteredStatus/8/id/6862702" TargetMode="External"/><Relationship Id="rId24" Type="http://schemas.openxmlformats.org/officeDocument/2006/relationships/hyperlink" Target="https://sellercenter.linio.com.pe/order/index/order-detail/filteredStatus/1/id/6860886" TargetMode="External"/><Relationship Id="rId32" Type="http://schemas.openxmlformats.org/officeDocument/2006/relationships/hyperlink" Target="https://sellercenter.linio.com.pe/order/index/order-detail/filteredStatus/1/id/6863078" TargetMode="External"/><Relationship Id="rId37" Type="http://schemas.openxmlformats.org/officeDocument/2006/relationships/hyperlink" Target="https://sellercenter.linio.com.pe/order" TargetMode="External"/><Relationship Id="rId40" Type="http://schemas.openxmlformats.org/officeDocument/2006/relationships/hyperlink" Target="https://sellercenter.linio.com.pe/order/index/order-detail/filteredStatus/1/id/6866711" TargetMode="External"/><Relationship Id="rId5" Type="http://schemas.openxmlformats.org/officeDocument/2006/relationships/hyperlink" Target="https://sellercenter.linio.com.pe/order/index/order-detail/filteredStatus/8/id/6851074" TargetMode="External"/><Relationship Id="rId15" Type="http://schemas.openxmlformats.org/officeDocument/2006/relationships/hyperlink" Target="https://sellercenter.linio.com.pe/order/index/order-detail/filteredStatus/8/id/6857646" TargetMode="External"/><Relationship Id="rId23" Type="http://schemas.openxmlformats.org/officeDocument/2006/relationships/hyperlink" Target="https://sellercenter.linio.com.pe/order" TargetMode="External"/><Relationship Id="rId28" Type="http://schemas.openxmlformats.org/officeDocument/2006/relationships/hyperlink" Target="https://sellercenter.linio.com.pe/order/index/order-detail/filteredStatus/1/id/6862142" TargetMode="External"/><Relationship Id="rId36" Type="http://schemas.openxmlformats.org/officeDocument/2006/relationships/hyperlink" Target="https://sellercenter.linio.com.pe/order/index/order-detail/filteredStatus/1/id/6864818" TargetMode="External"/><Relationship Id="rId10" Type="http://schemas.openxmlformats.org/officeDocument/2006/relationships/hyperlink" Target="https://sellercenter.linio.com.pe/order/index/order-detail/filteredStatus/8/id/6855437" TargetMode="External"/><Relationship Id="rId19" Type="http://schemas.openxmlformats.org/officeDocument/2006/relationships/hyperlink" Target="https://sellercenter.linio.com.pe/order/index/order-detail/filteredStatus/8/id/6861318" TargetMode="External"/><Relationship Id="rId31" Type="http://schemas.openxmlformats.org/officeDocument/2006/relationships/hyperlink" Target="https://sellercenter.linio.com.pe/order" TargetMode="External"/><Relationship Id="rId4" Type="http://schemas.openxmlformats.org/officeDocument/2006/relationships/hyperlink" Target="https://sellercenter.linio.com.pe/order/index/order-detail/filteredStatus/8/id/6851021" TargetMode="External"/><Relationship Id="rId9" Type="http://schemas.openxmlformats.org/officeDocument/2006/relationships/hyperlink" Target="https://sellercenter.linio.com.pe/order/index/order-detail/filteredStatus/8/id/6854158" TargetMode="External"/><Relationship Id="rId14" Type="http://schemas.openxmlformats.org/officeDocument/2006/relationships/hyperlink" Target="https://sellercenter.linio.com.pe/order/index/order-detail/filteredStatus/8/id/6857184" TargetMode="External"/><Relationship Id="rId22" Type="http://schemas.openxmlformats.org/officeDocument/2006/relationships/hyperlink" Target="https://sellercenter.linio.com.pe/order/index/order-detail/filteredStatus/1/id/6860863" TargetMode="External"/><Relationship Id="rId27" Type="http://schemas.openxmlformats.org/officeDocument/2006/relationships/hyperlink" Target="https://sellercenter.linio.com.pe/order" TargetMode="External"/><Relationship Id="rId30" Type="http://schemas.openxmlformats.org/officeDocument/2006/relationships/hyperlink" Target="https://sellercenter.linio.com.pe/order/index/order-detail/filteredStatus/1/id/6862620" TargetMode="External"/><Relationship Id="rId35" Type="http://schemas.openxmlformats.org/officeDocument/2006/relationships/hyperlink" Target="https://sellercenter.linio.com.pe/order" TargetMode="External"/><Relationship Id="rId8" Type="http://schemas.openxmlformats.org/officeDocument/2006/relationships/hyperlink" Target="https://sellercenter.linio.com.pe/order/index/order-detail/filteredStatus/8/id/6853295" TargetMode="External"/><Relationship Id="rId3" Type="http://schemas.openxmlformats.org/officeDocument/2006/relationships/hyperlink" Target="https://sellercenter.linio.com.pe/order/index/order-detail/filteredStatus/8/id/6849542" TargetMode="External"/><Relationship Id="rId12" Type="http://schemas.openxmlformats.org/officeDocument/2006/relationships/hyperlink" Target="https://sellercenter.linio.com.pe/order/index/order-detail/filteredStatus/8/id/6856567" TargetMode="External"/><Relationship Id="rId17" Type="http://schemas.openxmlformats.org/officeDocument/2006/relationships/hyperlink" Target="https://sellercenter.linio.com.pe/order/index/order-detail/filteredStatus/8/id/6859341" TargetMode="External"/><Relationship Id="rId25" Type="http://schemas.openxmlformats.org/officeDocument/2006/relationships/hyperlink" Target="https://sellercenter.linio.com.pe/order" TargetMode="External"/><Relationship Id="rId33" Type="http://schemas.openxmlformats.org/officeDocument/2006/relationships/hyperlink" Target="https://sellercenter.linio.com.pe/order" TargetMode="External"/><Relationship Id="rId38" Type="http://schemas.openxmlformats.org/officeDocument/2006/relationships/hyperlink" Target="https://sellercenter.linio.com.pe/order/index/order-detail/filteredStatus/1/id/686630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deltron.com.pe/modulos/productos/items/postsql.php?item_number=CPITG5925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deltron.com.pe/modulos/productos/items/postsql.php?item_number=CPITG592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1"/>
  <sheetViews>
    <sheetView zoomScale="80" zoomScaleNormal="80" workbookViewId="0">
      <pane ySplit="2" topLeftCell="A3" activePane="bottomLeft" state="frozen"/>
      <selection pane="bottomLeft" activeCell="M20" sqref="M20"/>
    </sheetView>
  </sheetViews>
  <sheetFormatPr defaultColWidth="11.42578125" defaultRowHeight="15"/>
  <cols>
    <col min="1" max="1" width="2.7109375" style="5" customWidth="1"/>
    <col min="2" max="2" width="2.85546875" style="5" customWidth="1"/>
    <col min="3" max="3" width="12.42578125" style="5" customWidth="1"/>
    <col min="4" max="4" width="17.42578125" style="5" customWidth="1"/>
    <col min="5" max="5" width="22.28515625" style="5" customWidth="1"/>
    <col min="6" max="6" width="6.140625" style="5" customWidth="1"/>
    <col min="7" max="7" width="8.7109375" style="5" customWidth="1"/>
    <col min="8" max="8" width="5.140625" style="5" customWidth="1"/>
    <col min="9" max="9" width="12.7109375" style="5" customWidth="1"/>
    <col min="10" max="10" width="6.5703125" style="5" customWidth="1"/>
    <col min="11" max="11" width="5.7109375" style="5" customWidth="1"/>
    <col min="12" max="12" width="8.85546875" style="5" customWidth="1"/>
    <col min="13" max="13" width="9.28515625" style="5" customWidth="1"/>
    <col min="14" max="14" width="7.140625" style="5" customWidth="1"/>
    <col min="15" max="15" width="8.28515625" style="5" customWidth="1"/>
    <col min="16" max="16" width="1.140625" style="65" customWidth="1"/>
    <col min="17" max="17" width="8.7109375" style="5" customWidth="1"/>
    <col min="18" max="18" width="7" style="5" customWidth="1"/>
    <col min="19" max="19" width="6.5703125" style="5" customWidth="1"/>
    <col min="20" max="20" width="6.85546875" style="5" customWidth="1"/>
    <col min="21" max="21" width="7.42578125" style="5" bestFit="1" customWidth="1"/>
    <col min="22" max="22" width="8.5703125" style="5" customWidth="1"/>
    <col min="23" max="23" width="6.7109375" style="5" customWidth="1"/>
    <col min="24" max="24" width="7.42578125" style="5" bestFit="1" customWidth="1"/>
    <col min="25" max="25" width="7" style="5" bestFit="1" customWidth="1"/>
    <col min="26" max="26" width="6.85546875" style="5" customWidth="1"/>
    <col min="27" max="28" width="7.5703125" style="5" customWidth="1"/>
    <col min="29" max="29" width="8.5703125" style="5" bestFit="1" customWidth="1"/>
    <col min="30" max="30" width="8.7109375" style="5" bestFit="1" customWidth="1"/>
    <col min="31" max="31" width="7.5703125" style="5" customWidth="1"/>
    <col min="32" max="32" width="8" style="5" bestFit="1" customWidth="1"/>
    <col min="33" max="33" width="7.42578125" style="5" customWidth="1"/>
    <col min="34" max="34" width="9.140625" style="5" bestFit="1" customWidth="1"/>
    <col min="35" max="35" width="9.140625" style="5" customWidth="1"/>
    <col min="36" max="16384" width="11.42578125" style="5"/>
  </cols>
  <sheetData>
    <row r="1" spans="1:41" ht="21.75" thickTop="1" thickBot="1">
      <c r="A1" s="381" t="s">
        <v>0</v>
      </c>
      <c r="B1" s="381"/>
      <c r="C1" s="258">
        <v>0.1</v>
      </c>
      <c r="D1" s="374" t="s">
        <v>1</v>
      </c>
      <c r="E1" s="382">
        <v>1199</v>
      </c>
      <c r="F1" s="382"/>
      <c r="G1" s="383" t="s">
        <v>2</v>
      </c>
      <c r="H1" s="384"/>
      <c r="I1" s="259">
        <f>E1/1.18</f>
        <v>1016.1016949152543</v>
      </c>
      <c r="J1" s="436">
        <f>E1-I1</f>
        <v>182.89830508474574</v>
      </c>
      <c r="K1" s="437"/>
      <c r="L1" s="73"/>
      <c r="M1" s="438" t="s">
        <v>3</v>
      </c>
      <c r="N1" s="438"/>
      <c r="O1" s="223">
        <v>3.97</v>
      </c>
    </row>
    <row r="2" spans="1:41" ht="29.25" customHeight="1" thickTop="1" thickBot="1">
      <c r="A2" s="387" t="s">
        <v>4</v>
      </c>
      <c r="B2" s="388"/>
      <c r="C2" s="260" t="s">
        <v>5</v>
      </c>
      <c r="D2" s="389" t="s">
        <v>6</v>
      </c>
      <c r="E2" s="390"/>
      <c r="F2" s="261" t="s">
        <v>7</v>
      </c>
      <c r="G2" s="69" t="s">
        <v>8</v>
      </c>
      <c r="H2" s="45" t="s">
        <v>9</v>
      </c>
      <c r="I2" s="3" t="s">
        <v>10</v>
      </c>
      <c r="J2" s="8"/>
      <c r="K2" s="8"/>
      <c r="L2" s="8"/>
      <c r="M2" s="8"/>
      <c r="Q2" s="396" t="s">
        <v>11</v>
      </c>
      <c r="R2" s="396"/>
      <c r="S2" s="396"/>
      <c r="T2" s="396"/>
      <c r="U2" s="396"/>
      <c r="V2" s="396"/>
      <c r="W2" s="373"/>
      <c r="X2" s="373"/>
    </row>
    <row r="3" spans="1:41" ht="15.75" customHeight="1" thickBot="1">
      <c r="A3" s="431" t="s">
        <v>12</v>
      </c>
      <c r="B3" s="431"/>
      <c r="C3" s="431"/>
      <c r="D3" s="431"/>
      <c r="E3" s="431"/>
      <c r="F3" s="431"/>
      <c r="G3" s="431"/>
      <c r="H3" s="431"/>
      <c r="I3" s="431"/>
      <c r="J3" s="72" t="s">
        <v>13</v>
      </c>
      <c r="K3" s="76" t="s">
        <v>14</v>
      </c>
      <c r="L3" s="76" t="s">
        <v>15</v>
      </c>
      <c r="M3" s="4" t="s">
        <v>16</v>
      </c>
      <c r="N3" s="77"/>
      <c r="O3" s="61" t="s">
        <v>17</v>
      </c>
      <c r="P3" s="66"/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67"/>
      <c r="AK3" s="67"/>
      <c r="AL3" s="67"/>
    </row>
    <row r="4" spans="1:41" ht="16.5" customHeight="1">
      <c r="A4" s="1">
        <v>1</v>
      </c>
      <c r="B4" s="70" t="s">
        <v>37</v>
      </c>
      <c r="C4" s="256" t="s">
        <v>38</v>
      </c>
      <c r="D4" s="432" t="s">
        <v>39</v>
      </c>
      <c r="E4" s="433"/>
      <c r="F4" s="9">
        <v>1</v>
      </c>
      <c r="G4" s="56">
        <f t="shared" ref="G4:G10" si="0">IF(SUM(Q4:AI4)&lt;=0,"0",(SMALL(Q4:AI4, COUNTIF(Q4:AI4, "&lt;=0") + 1)))</f>
        <v>188</v>
      </c>
      <c r="H4" s="36"/>
      <c r="I4" s="47">
        <f t="shared" ref="I4:I10" si="1">(((G4-H4)*1.18)*$O$1)*F4</f>
        <v>880.70479999999998</v>
      </c>
      <c r="J4" s="49"/>
      <c r="K4" s="75"/>
      <c r="L4" s="262">
        <f t="shared" ref="L4:L10" si="2">I4+J4+K4</f>
        <v>880.70479999999998</v>
      </c>
      <c r="M4" s="262">
        <f t="shared" ref="M4:M10" si="3">(L4*1.015)</f>
        <v>893.91537199999993</v>
      </c>
      <c r="N4" s="46"/>
      <c r="O4" s="140"/>
      <c r="P4" s="66"/>
      <c r="Q4" s="60">
        <v>188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7"/>
      <c r="AK4" s="67"/>
      <c r="AL4" s="255" t="s">
        <v>40</v>
      </c>
    </row>
    <row r="5" spans="1:41" ht="16.5" customHeight="1">
      <c r="A5" s="1">
        <v>2</v>
      </c>
      <c r="B5" s="71"/>
      <c r="C5" s="256" t="s">
        <v>41</v>
      </c>
      <c r="D5" s="432" t="s">
        <v>42</v>
      </c>
      <c r="E5" s="433"/>
      <c r="F5" s="9">
        <v>1</v>
      </c>
      <c r="G5" s="56">
        <f t="shared" si="0"/>
        <v>99</v>
      </c>
      <c r="H5" s="58"/>
      <c r="I5" s="47">
        <f t="shared" si="1"/>
        <v>463.77539999999999</v>
      </c>
      <c r="J5" s="49"/>
      <c r="K5" s="50"/>
      <c r="L5" s="262">
        <f t="shared" si="2"/>
        <v>463.77539999999999</v>
      </c>
      <c r="M5" s="262">
        <f t="shared" si="3"/>
        <v>470.73203099999995</v>
      </c>
      <c r="N5" s="46"/>
      <c r="O5" s="140"/>
      <c r="P5" s="66"/>
      <c r="Q5" s="60">
        <v>99</v>
      </c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7"/>
      <c r="AF5" s="67"/>
      <c r="AG5" s="67"/>
      <c r="AH5" s="67"/>
      <c r="AI5" s="67"/>
      <c r="AJ5" s="67"/>
      <c r="AK5" s="67"/>
      <c r="AL5" s="67"/>
    </row>
    <row r="6" spans="1:41" s="10" customFormat="1" ht="16.5">
      <c r="A6" s="1">
        <v>3</v>
      </c>
      <c r="B6" s="71"/>
      <c r="C6" s="5" t="s">
        <v>43</v>
      </c>
      <c r="D6" s="434" t="s">
        <v>44</v>
      </c>
      <c r="E6" s="433"/>
      <c r="F6" s="9">
        <v>2</v>
      </c>
      <c r="G6" s="56">
        <f t="shared" si="0"/>
        <v>42</v>
      </c>
      <c r="H6" s="37"/>
      <c r="I6" s="47">
        <f t="shared" si="1"/>
        <v>393.50639999999999</v>
      </c>
      <c r="J6" s="49"/>
      <c r="K6" s="50"/>
      <c r="L6" s="262">
        <f t="shared" si="2"/>
        <v>393.50639999999999</v>
      </c>
      <c r="M6" s="262">
        <f t="shared" si="3"/>
        <v>399.40899599999995</v>
      </c>
      <c r="N6" s="46"/>
      <c r="O6" s="140"/>
      <c r="P6" s="66"/>
      <c r="Q6" s="60">
        <v>42</v>
      </c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7"/>
      <c r="AF6" s="67"/>
      <c r="AG6" s="67"/>
      <c r="AH6" s="67"/>
      <c r="AI6" s="67"/>
      <c r="AJ6" s="67"/>
      <c r="AK6" s="67"/>
      <c r="AL6" s="67"/>
      <c r="AM6" s="5"/>
      <c r="AN6" s="5"/>
      <c r="AO6" s="5"/>
    </row>
    <row r="7" spans="1:41" s="10" customFormat="1" ht="16.5">
      <c r="A7" s="1">
        <v>4</v>
      </c>
      <c r="B7" s="71"/>
      <c r="C7" s="256" t="s">
        <v>45</v>
      </c>
      <c r="D7" s="435" t="s">
        <v>46</v>
      </c>
      <c r="E7" s="433"/>
      <c r="F7" s="9">
        <v>1</v>
      </c>
      <c r="G7" s="56">
        <f t="shared" si="0"/>
        <v>43</v>
      </c>
      <c r="H7" s="38"/>
      <c r="I7" s="47">
        <f t="shared" si="1"/>
        <v>201.43779999999998</v>
      </c>
      <c r="J7" s="49"/>
      <c r="K7" s="50"/>
      <c r="L7" s="262">
        <f t="shared" si="2"/>
        <v>201.43779999999998</v>
      </c>
      <c r="M7" s="262">
        <f t="shared" si="3"/>
        <v>204.45936699999996</v>
      </c>
      <c r="N7" s="46"/>
      <c r="O7" s="140"/>
      <c r="P7" s="66"/>
      <c r="Q7" s="60">
        <v>43</v>
      </c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7"/>
      <c r="AF7" s="67"/>
      <c r="AG7" s="67"/>
      <c r="AH7" s="67"/>
      <c r="AI7" s="67"/>
      <c r="AJ7" s="67"/>
      <c r="AK7" s="67"/>
      <c r="AL7" s="67"/>
      <c r="AM7" s="5"/>
      <c r="AN7" s="5"/>
      <c r="AO7" s="5"/>
    </row>
    <row r="8" spans="1:41" s="10" customFormat="1" ht="16.5">
      <c r="A8" s="1"/>
      <c r="B8" s="71"/>
      <c r="C8" s="256" t="s">
        <v>47</v>
      </c>
      <c r="D8" s="376" t="s">
        <v>48</v>
      </c>
      <c r="E8" s="375"/>
      <c r="F8" s="9">
        <v>1</v>
      </c>
      <c r="G8" s="56">
        <f t="shared" si="0"/>
        <v>34</v>
      </c>
      <c r="H8" s="38"/>
      <c r="I8" s="47">
        <f t="shared" si="1"/>
        <v>159.2764</v>
      </c>
      <c r="J8" s="49"/>
      <c r="K8" s="50"/>
      <c r="L8" s="262">
        <f t="shared" si="2"/>
        <v>159.2764</v>
      </c>
      <c r="M8" s="262">
        <f t="shared" si="3"/>
        <v>161.66554599999998</v>
      </c>
      <c r="N8" s="46"/>
      <c r="O8" s="140"/>
      <c r="P8" s="66"/>
      <c r="Q8" s="60">
        <v>34</v>
      </c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7"/>
      <c r="AF8" s="67"/>
      <c r="AG8" s="67"/>
      <c r="AH8" s="67"/>
      <c r="AI8" s="67"/>
      <c r="AJ8" s="67"/>
      <c r="AK8" s="67"/>
      <c r="AL8" s="67"/>
      <c r="AM8" s="5"/>
      <c r="AN8" s="5"/>
      <c r="AO8" s="5"/>
    </row>
    <row r="9" spans="1:41" s="10" customFormat="1" ht="16.5">
      <c r="A9" s="1">
        <v>6</v>
      </c>
      <c r="B9" s="71"/>
      <c r="C9" s="256" t="s">
        <v>49</v>
      </c>
      <c r="D9" s="376" t="s">
        <v>50</v>
      </c>
      <c r="E9" s="375"/>
      <c r="F9" s="9">
        <v>1</v>
      </c>
      <c r="G9" s="56">
        <f t="shared" si="0"/>
        <v>49</v>
      </c>
      <c r="H9" s="38"/>
      <c r="I9" s="47">
        <f t="shared" si="1"/>
        <v>229.5454</v>
      </c>
      <c r="J9" s="49"/>
      <c r="K9" s="50"/>
      <c r="L9" s="262">
        <f t="shared" si="2"/>
        <v>229.5454</v>
      </c>
      <c r="M9" s="262">
        <f t="shared" si="3"/>
        <v>232.98858099999998</v>
      </c>
      <c r="N9" s="46"/>
      <c r="O9" s="140"/>
      <c r="P9" s="66"/>
      <c r="Q9" s="60">
        <v>49</v>
      </c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7"/>
      <c r="AF9" s="67"/>
      <c r="AG9" s="67"/>
      <c r="AH9" s="67"/>
      <c r="AI9" s="67"/>
      <c r="AJ9" s="67"/>
      <c r="AK9" s="67"/>
      <c r="AL9" s="67"/>
      <c r="AM9" s="5"/>
      <c r="AN9" s="5"/>
      <c r="AO9" s="5"/>
    </row>
    <row r="10" spans="1:41" s="10" customFormat="1" ht="16.5">
      <c r="A10" s="1">
        <v>7</v>
      </c>
      <c r="B10" s="71"/>
      <c r="C10" s="256" t="s">
        <v>51</v>
      </c>
      <c r="D10" s="376" t="s">
        <v>52</v>
      </c>
      <c r="E10" s="375"/>
      <c r="F10" s="9">
        <v>1</v>
      </c>
      <c r="G10" s="56">
        <f t="shared" si="0"/>
        <v>75</v>
      </c>
      <c r="H10" s="38"/>
      <c r="I10" s="47">
        <f t="shared" si="1"/>
        <v>351.34500000000003</v>
      </c>
      <c r="J10" s="49"/>
      <c r="K10" s="50"/>
      <c r="L10" s="262">
        <f t="shared" si="2"/>
        <v>351.34500000000003</v>
      </c>
      <c r="M10" s="262">
        <f t="shared" si="3"/>
        <v>356.61517499999997</v>
      </c>
      <c r="N10" s="46"/>
      <c r="O10" s="140"/>
      <c r="P10" s="66"/>
      <c r="Q10" s="60">
        <v>75</v>
      </c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7"/>
      <c r="AF10" s="67"/>
      <c r="AG10" s="67"/>
      <c r="AH10" s="67"/>
      <c r="AI10" s="67"/>
      <c r="AJ10" s="67"/>
      <c r="AK10" s="67"/>
      <c r="AL10" s="67"/>
      <c r="AM10" s="5"/>
      <c r="AN10" s="5"/>
      <c r="AO10" s="5"/>
    </row>
    <row r="11" spans="1:4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4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257">
        <f>SUM(M4:M11)</f>
        <v>2719.7850679999997</v>
      </c>
    </row>
    <row r="13" spans="1:41" ht="15.75" thickBo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 t="s">
        <v>53</v>
      </c>
      <c r="M13" s="6">
        <v>2950</v>
      </c>
    </row>
    <row r="14" spans="1:41" ht="15.75" customHeight="1" thickBot="1">
      <c r="A14" s="431" t="s">
        <v>12</v>
      </c>
      <c r="B14" s="431"/>
      <c r="C14" s="431"/>
      <c r="D14" s="431"/>
      <c r="E14" s="431"/>
      <c r="F14" s="431"/>
      <c r="G14" s="431"/>
      <c r="H14" s="431"/>
      <c r="I14" s="431"/>
      <c r="J14" s="72" t="s">
        <v>13</v>
      </c>
      <c r="K14" s="76" t="s">
        <v>14</v>
      </c>
      <c r="L14" s="76" t="s">
        <v>15</v>
      </c>
      <c r="M14" s="4" t="s">
        <v>16</v>
      </c>
      <c r="N14" s="77"/>
      <c r="O14" s="61" t="s">
        <v>17</v>
      </c>
      <c r="P14" s="66"/>
      <c r="Q14" s="1" t="s">
        <v>18</v>
      </c>
      <c r="R14" s="1" t="s">
        <v>19</v>
      </c>
      <c r="S14" s="1" t="s">
        <v>20</v>
      </c>
      <c r="T14" s="1" t="s">
        <v>21</v>
      </c>
      <c r="U14" s="1" t="s">
        <v>22</v>
      </c>
      <c r="V14" s="1" t="s">
        <v>23</v>
      </c>
      <c r="W14" s="1" t="s">
        <v>24</v>
      </c>
      <c r="X14" s="1" t="s">
        <v>25</v>
      </c>
      <c r="Y14" s="1" t="s">
        <v>26</v>
      </c>
      <c r="Z14" s="1" t="s">
        <v>27</v>
      </c>
      <c r="AA14" s="1" t="s">
        <v>28</v>
      </c>
      <c r="AB14" s="1" t="s">
        <v>29</v>
      </c>
      <c r="AC14" s="1" t="s">
        <v>30</v>
      </c>
      <c r="AD14" s="1" t="s">
        <v>31</v>
      </c>
      <c r="AE14" s="1" t="s">
        <v>32</v>
      </c>
      <c r="AF14" s="1" t="s">
        <v>33</v>
      </c>
      <c r="AG14" s="1" t="s">
        <v>34</v>
      </c>
      <c r="AH14" s="1" t="s">
        <v>35</v>
      </c>
      <c r="AI14" s="1" t="s">
        <v>36</v>
      </c>
      <c r="AJ14" s="67"/>
      <c r="AK14" s="67"/>
      <c r="AL14" s="67"/>
    </row>
    <row r="15" spans="1:41" ht="16.5" customHeight="1">
      <c r="A15" s="1">
        <v>1</v>
      </c>
      <c r="B15" s="70" t="s">
        <v>37</v>
      </c>
      <c r="C15" s="256" t="s">
        <v>54</v>
      </c>
      <c r="D15" s="432" t="s">
        <v>55</v>
      </c>
      <c r="E15" s="433"/>
      <c r="F15" s="9">
        <v>1</v>
      </c>
      <c r="G15" s="56">
        <f>IF(SUM(Q15:AI15)&lt;=0,"0",(SMALL(Q15:AI15, COUNTIF(Q15:AI15, "&lt;=0") + 1)))</f>
        <v>800</v>
      </c>
      <c r="H15" s="36"/>
      <c r="I15" s="47">
        <f>(((G15-H15)*1.18)*$O$1)*F15</f>
        <v>3747.6800000000003</v>
      </c>
      <c r="J15" s="49"/>
      <c r="K15" s="75"/>
      <c r="L15" s="262">
        <f>I15+J15+K15</f>
        <v>3747.6800000000003</v>
      </c>
      <c r="M15" s="262">
        <f>(L15*1.015)</f>
        <v>3803.8951999999999</v>
      </c>
      <c r="N15" s="46"/>
      <c r="O15" s="140"/>
      <c r="P15" s="66"/>
      <c r="Q15" s="60">
        <v>800</v>
      </c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7"/>
      <c r="AK15" s="67"/>
      <c r="AL15" s="255" t="s">
        <v>40</v>
      </c>
    </row>
    <row r="16" spans="1:41">
      <c r="A16" s="6">
        <v>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4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257">
        <f>SUM(M15:M16)</f>
        <v>3803.8951999999999</v>
      </c>
    </row>
    <row r="18" spans="1:41" s="65" customFormat="1">
      <c r="A18" s="5"/>
      <c r="B18" s="5"/>
      <c r="C18" s="5"/>
      <c r="D18" s="5"/>
      <c r="E18" s="5"/>
      <c r="F18" s="5"/>
      <c r="G18" s="5"/>
      <c r="H18" s="5"/>
      <c r="I18" s="6"/>
      <c r="J18" s="5"/>
      <c r="K18" s="5"/>
      <c r="L18" s="5"/>
      <c r="M18" s="5">
        <v>4200</v>
      </c>
      <c r="N18" s="5"/>
      <c r="O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65" customFormat="1">
      <c r="A19" s="5"/>
      <c r="B19" s="5"/>
      <c r="C19" s="5"/>
      <c r="D19" s="5"/>
      <c r="E19" s="28"/>
      <c r="F19" s="5"/>
      <c r="G19" s="5"/>
      <c r="H19" s="5"/>
      <c r="I19" s="6"/>
      <c r="J19" s="5"/>
      <c r="K19" s="5"/>
      <c r="L19" s="5"/>
      <c r="M19" s="5">
        <f>M13+M18</f>
        <v>7150</v>
      </c>
      <c r="N19" s="5"/>
      <c r="O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65" customFormat="1">
      <c r="A20" s="5"/>
      <c r="B20" s="5"/>
      <c r="C20" s="5"/>
      <c r="D20" s="5"/>
      <c r="E20" s="5"/>
      <c r="F20" s="5"/>
      <c r="G20" s="5"/>
      <c r="H20" s="5"/>
      <c r="I20" s="6"/>
      <c r="J20" s="5"/>
      <c r="K20" s="5"/>
      <c r="L20" s="5"/>
      <c r="M20" s="5"/>
      <c r="N20" s="5"/>
      <c r="O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2" spans="1:41" s="65" customFormat="1">
      <c r="A22" s="5"/>
      <c r="B22" s="5"/>
      <c r="C22" s="5"/>
      <c r="D22" s="5"/>
      <c r="E22" s="5"/>
      <c r="F22" s="5"/>
      <c r="G22" s="5"/>
      <c r="H22" s="5"/>
      <c r="I22" s="29"/>
      <c r="J22" s="5"/>
      <c r="K22" s="5"/>
      <c r="L22" s="5"/>
      <c r="M22" s="5"/>
      <c r="N22" s="5"/>
      <c r="O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8" spans="1:41" s="65" customForma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41" spans="7:7" ht="15.75" thickBot="1"/>
    <row r="42" spans="7:7" ht="15.75" thickBot="1">
      <c r="G42" s="31"/>
    </row>
    <row r="61" spans="10:13">
      <c r="M61"/>
    </row>
    <row r="62" spans="10:13">
      <c r="J62"/>
      <c r="M62"/>
    </row>
    <row r="74" spans="10:10">
      <c r="J74"/>
    </row>
    <row r="75" spans="10:10">
      <c r="J75"/>
    </row>
    <row r="81" spans="10:10">
      <c r="J81"/>
    </row>
    <row r="82" spans="10:10">
      <c r="J82"/>
    </row>
    <row r="85" spans="10:10">
      <c r="J85"/>
    </row>
    <row r="88" spans="10:10">
      <c r="J88"/>
    </row>
    <row r="108" spans="10:13">
      <c r="K108" s="5">
        <v>35.19</v>
      </c>
      <c r="M108" s="5">
        <v>24.6</v>
      </c>
    </row>
    <row r="109" spans="10:13">
      <c r="K109" s="5">
        <v>52.92</v>
      </c>
      <c r="M109" s="5">
        <v>3176.17</v>
      </c>
    </row>
    <row r="110" spans="10:13">
      <c r="K110" s="5">
        <f>SUM(K108:K109)</f>
        <v>88.11</v>
      </c>
      <c r="M110" s="5">
        <v>850.22</v>
      </c>
    </row>
    <row r="111" spans="10:13">
      <c r="M111" s="5">
        <f>SUM(M108:M110)</f>
        <v>4050.99</v>
      </c>
    </row>
    <row r="112" spans="10:13">
      <c r="J112" s="5">
        <v>789</v>
      </c>
    </row>
    <row r="113" spans="7:13">
      <c r="G113" s="5">
        <v>4619</v>
      </c>
    </row>
    <row r="114" spans="7:13">
      <c r="G114" s="5">
        <v>100</v>
      </c>
      <c r="M114" s="5">
        <f>M111-2100</f>
        <v>1950.9899999999998</v>
      </c>
    </row>
    <row r="115" spans="7:13">
      <c r="G115" s="5">
        <v>5000</v>
      </c>
    </row>
    <row r="116" spans="7:13">
      <c r="G116" s="5">
        <f>SUM(G113:G115)</f>
        <v>9719</v>
      </c>
    </row>
    <row r="118" spans="7:13">
      <c r="M118" s="5">
        <f>M114/3.26</f>
        <v>598.46319018404904</v>
      </c>
    </row>
    <row r="121" spans="7:13">
      <c r="K121" s="5">
        <f>M118+K110</f>
        <v>686.57319018404905</v>
      </c>
    </row>
  </sheetData>
  <mergeCells count="15">
    <mergeCell ref="A1:B1"/>
    <mergeCell ref="E1:F1"/>
    <mergeCell ref="G1:H1"/>
    <mergeCell ref="J1:K1"/>
    <mergeCell ref="M1:N1"/>
    <mergeCell ref="A14:I14"/>
    <mergeCell ref="D15:E15"/>
    <mergeCell ref="Q2:V2"/>
    <mergeCell ref="A3:I3"/>
    <mergeCell ref="D4:E4"/>
    <mergeCell ref="D5:E5"/>
    <mergeCell ref="D6:E6"/>
    <mergeCell ref="D7:E7"/>
    <mergeCell ref="A2:B2"/>
    <mergeCell ref="D2:E2"/>
  </mergeCells>
  <hyperlinks>
    <hyperlink ref="AL4" r:id="rId1" xr:uid="{00000000-0004-0000-0000-000000000000}"/>
    <hyperlink ref="AL15" r:id="rId2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36"/>
  <sheetViews>
    <sheetView zoomScale="80" zoomScaleNormal="80" workbookViewId="0">
      <pane ySplit="2" topLeftCell="A3" activePane="bottomLeft" state="frozen"/>
      <selection pane="bottomLeft" activeCell="M12" sqref="M12"/>
    </sheetView>
  </sheetViews>
  <sheetFormatPr defaultColWidth="11.42578125" defaultRowHeight="15"/>
  <cols>
    <col min="1" max="1" width="2.7109375" style="5" customWidth="1"/>
    <col min="2" max="2" width="2.85546875" style="5" customWidth="1"/>
    <col min="3" max="3" width="12.42578125" style="5" customWidth="1"/>
    <col min="4" max="4" width="17.42578125" style="5" customWidth="1"/>
    <col min="5" max="5" width="35.5703125" style="5" customWidth="1"/>
    <col min="6" max="6" width="6.140625" style="5" customWidth="1"/>
    <col min="7" max="7" width="8.7109375" style="5" customWidth="1"/>
    <col min="8" max="8" width="5.140625" style="5" customWidth="1"/>
    <col min="9" max="9" width="12.7109375" style="5" customWidth="1"/>
    <col min="10" max="10" width="6.5703125" style="5" customWidth="1"/>
    <col min="11" max="11" width="5.7109375" style="5" customWidth="1"/>
    <col min="12" max="12" width="8.85546875" style="5" customWidth="1"/>
    <col min="13" max="13" width="9.28515625" style="5" customWidth="1"/>
    <col min="14" max="14" width="7.140625" style="5" customWidth="1"/>
    <col min="15" max="15" width="8.28515625" style="5" customWidth="1"/>
    <col min="16" max="16" width="1.140625" style="65" customWidth="1"/>
    <col min="17" max="17" width="8.7109375" style="5" customWidth="1"/>
    <col min="18" max="18" width="7" style="5" customWidth="1"/>
    <col min="19" max="19" width="6.5703125" style="5" customWidth="1"/>
    <col min="20" max="20" width="6.85546875" style="5" customWidth="1"/>
    <col min="21" max="21" width="7.42578125" style="5" bestFit="1" customWidth="1"/>
    <col min="22" max="22" width="8.5703125" style="5" customWidth="1"/>
    <col min="23" max="23" width="6.7109375" style="5" customWidth="1"/>
    <col min="24" max="24" width="7.42578125" style="5" bestFit="1" customWidth="1"/>
    <col min="25" max="25" width="7" style="5" bestFit="1" customWidth="1"/>
    <col min="26" max="26" width="6.85546875" style="5" customWidth="1"/>
    <col min="27" max="28" width="7.5703125" style="5" customWidth="1"/>
    <col min="29" max="29" width="8.5703125" style="5" bestFit="1" customWidth="1"/>
    <col min="30" max="30" width="8.7109375" style="5" bestFit="1" customWidth="1"/>
    <col min="31" max="31" width="7.5703125" style="5" customWidth="1"/>
    <col min="32" max="32" width="8" style="5" bestFit="1" customWidth="1"/>
    <col min="33" max="33" width="7.42578125" style="5" customWidth="1"/>
    <col min="34" max="34" width="9.140625" style="5" bestFit="1" customWidth="1"/>
    <col min="35" max="35" width="9.140625" style="5" customWidth="1"/>
    <col min="36" max="16384" width="11.42578125" style="5"/>
  </cols>
  <sheetData>
    <row r="1" spans="1:41" ht="21.75" thickTop="1" thickBot="1">
      <c r="A1" s="381" t="s">
        <v>0</v>
      </c>
      <c r="B1" s="381"/>
      <c r="C1" s="258">
        <v>0.1</v>
      </c>
      <c r="D1" s="374" t="s">
        <v>1</v>
      </c>
      <c r="E1" s="382">
        <v>1199</v>
      </c>
      <c r="F1" s="382"/>
      <c r="G1" s="383" t="s">
        <v>2</v>
      </c>
      <c r="H1" s="384"/>
      <c r="I1" s="259">
        <f>E1/1.18</f>
        <v>1016.1016949152543</v>
      </c>
      <c r="J1" s="436">
        <f>E1-I1</f>
        <v>182.89830508474574</v>
      </c>
      <c r="K1" s="437"/>
      <c r="L1" s="73"/>
      <c r="M1" s="438" t="s">
        <v>3</v>
      </c>
      <c r="N1" s="438"/>
      <c r="O1" s="223">
        <v>3.95</v>
      </c>
    </row>
    <row r="2" spans="1:41" ht="29.25" customHeight="1" thickTop="1" thickBot="1">
      <c r="A2" s="387" t="s">
        <v>4</v>
      </c>
      <c r="B2" s="388"/>
      <c r="C2" s="260" t="s">
        <v>5</v>
      </c>
      <c r="D2" s="389" t="s">
        <v>6</v>
      </c>
      <c r="E2" s="390"/>
      <c r="F2" s="261" t="s">
        <v>7</v>
      </c>
      <c r="G2" s="69" t="s">
        <v>8</v>
      </c>
      <c r="H2" s="45" t="s">
        <v>9</v>
      </c>
      <c r="I2" s="3" t="s">
        <v>10</v>
      </c>
      <c r="J2" s="8"/>
      <c r="K2" s="8"/>
      <c r="L2" s="8"/>
      <c r="M2" s="8"/>
      <c r="Q2" s="396" t="s">
        <v>11</v>
      </c>
      <c r="R2" s="396"/>
      <c r="S2" s="396"/>
      <c r="T2" s="396"/>
      <c r="U2" s="396"/>
      <c r="V2" s="396"/>
      <c r="W2" s="373"/>
      <c r="X2" s="373"/>
    </row>
    <row r="3" spans="1:41" ht="15.75" customHeight="1" thickBot="1">
      <c r="A3" s="431" t="s">
        <v>12</v>
      </c>
      <c r="B3" s="431"/>
      <c r="C3" s="431"/>
      <c r="D3" s="431"/>
      <c r="E3" s="431"/>
      <c r="F3" s="431"/>
      <c r="G3" s="431"/>
      <c r="H3" s="431"/>
      <c r="I3" s="431"/>
      <c r="J3" s="72" t="s">
        <v>13</v>
      </c>
      <c r="K3" s="76" t="s">
        <v>14</v>
      </c>
      <c r="L3" s="76" t="s">
        <v>15</v>
      </c>
      <c r="M3" s="4" t="s">
        <v>16</v>
      </c>
      <c r="N3" s="77"/>
      <c r="O3" s="61" t="s">
        <v>17</v>
      </c>
      <c r="P3" s="66"/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67"/>
      <c r="AK3" s="67"/>
      <c r="AL3" s="67"/>
    </row>
    <row r="4" spans="1:41" ht="16.5" customHeight="1">
      <c r="A4" s="1">
        <v>1</v>
      </c>
      <c r="B4" s="70" t="s">
        <v>37</v>
      </c>
      <c r="C4" s="256" t="s">
        <v>38</v>
      </c>
      <c r="D4" s="432" t="s">
        <v>56</v>
      </c>
      <c r="E4" s="433"/>
      <c r="F4" s="9">
        <v>1</v>
      </c>
      <c r="G4" s="56">
        <f>IF(SUM(Q4:AI4)&lt;=0,"0",(SMALL(Q4:AI4, COUNTIF(Q4:AI4, "&lt;=0") + 1)))</f>
        <v>63</v>
      </c>
      <c r="H4" s="36"/>
      <c r="I4" s="47">
        <f>(((G4-H4)*1.18)*$O$1)*F4</f>
        <v>293.64299999999997</v>
      </c>
      <c r="J4" s="49"/>
      <c r="K4" s="75"/>
      <c r="L4" s="262">
        <f>I4+J4+K4</f>
        <v>293.64299999999997</v>
      </c>
      <c r="M4" s="262">
        <f>(L4*1.015)</f>
        <v>298.04764499999993</v>
      </c>
      <c r="N4" s="46"/>
      <c r="O4" s="140"/>
      <c r="P4" s="66"/>
      <c r="Q4" s="60">
        <v>63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7"/>
      <c r="AK4" s="67"/>
      <c r="AL4" s="255" t="s">
        <v>40</v>
      </c>
    </row>
    <row r="5" spans="1:41" ht="16.5" customHeight="1">
      <c r="A5" s="1">
        <v>2</v>
      </c>
      <c r="B5" s="71"/>
      <c r="C5" s="256" t="s">
        <v>41</v>
      </c>
      <c r="D5" s="432" t="s">
        <v>57</v>
      </c>
      <c r="E5" s="433"/>
      <c r="F5" s="9">
        <v>1</v>
      </c>
      <c r="G5" s="56">
        <f>IF(SUM(Q5:AI5)&lt;=0,"0",(SMALL(Q5:AI5, COUNTIF(Q5:AI5, "&lt;=0") + 1)))</f>
        <v>72</v>
      </c>
      <c r="H5" s="58"/>
      <c r="I5" s="47">
        <f>(((G5-H5)*1.18)*$O$1)*F5</f>
        <v>335.59199999999998</v>
      </c>
      <c r="J5" s="49"/>
      <c r="K5" s="50"/>
      <c r="L5" s="262">
        <f>I5+J5+K5</f>
        <v>335.59199999999998</v>
      </c>
      <c r="M5" s="262">
        <f>(L5*1.015)</f>
        <v>340.62587999999994</v>
      </c>
      <c r="N5" s="46"/>
      <c r="O5" s="140"/>
      <c r="P5" s="66"/>
      <c r="Q5" s="60">
        <v>72</v>
      </c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7"/>
      <c r="AF5" s="67"/>
      <c r="AG5" s="67"/>
      <c r="AH5" s="67"/>
      <c r="AI5" s="67"/>
      <c r="AJ5" s="67"/>
      <c r="AK5" s="67"/>
      <c r="AL5" s="67"/>
    </row>
    <row r="6" spans="1:41" s="10" customFormat="1" ht="16.5">
      <c r="A6" s="1">
        <v>3</v>
      </c>
      <c r="B6" s="71"/>
      <c r="C6" s="5" t="s">
        <v>43</v>
      </c>
      <c r="D6" s="434" t="s">
        <v>58</v>
      </c>
      <c r="E6" s="433"/>
      <c r="F6" s="9">
        <v>1</v>
      </c>
      <c r="G6" s="56">
        <f>IF(SUM(Q6:AI6)&lt;=0,"0",(SMALL(Q6:AI6, COUNTIF(Q6:AI6, "&lt;=0") + 1)))</f>
        <v>22</v>
      </c>
      <c r="H6" s="37"/>
      <c r="I6" s="47">
        <f>(((G6-H6)*1.18)*$O$1)*F6</f>
        <v>102.54199999999999</v>
      </c>
      <c r="J6" s="49"/>
      <c r="K6" s="50"/>
      <c r="L6" s="262">
        <f>I6+J6+K6</f>
        <v>102.54199999999999</v>
      </c>
      <c r="M6" s="262">
        <f>(L6*1.015)</f>
        <v>104.08012999999998</v>
      </c>
      <c r="N6" s="46"/>
      <c r="O6" s="140"/>
      <c r="P6" s="66"/>
      <c r="Q6" s="60">
        <v>22</v>
      </c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7"/>
      <c r="AF6" s="67"/>
      <c r="AG6" s="67"/>
      <c r="AH6" s="67"/>
      <c r="AI6" s="67"/>
      <c r="AJ6" s="67"/>
      <c r="AK6" s="67"/>
      <c r="AL6" s="67"/>
      <c r="AM6" s="5"/>
      <c r="AN6" s="5"/>
      <c r="AO6" s="5"/>
    </row>
    <row r="7" spans="1:41" s="10" customFormat="1" ht="16.5">
      <c r="A7" s="1">
        <v>4</v>
      </c>
      <c r="B7" s="71"/>
      <c r="C7" s="256" t="s">
        <v>45</v>
      </c>
      <c r="D7" s="435" t="s">
        <v>59</v>
      </c>
      <c r="E7" s="433"/>
      <c r="F7" s="9">
        <v>1</v>
      </c>
      <c r="G7" s="56">
        <f>IF(SUM(Q7:AI7)&lt;=0,"0",(SMALL(Q7:AI7, COUNTIF(Q7:AI7, "&lt;=0") + 1)))</f>
        <v>28</v>
      </c>
      <c r="H7" s="38"/>
      <c r="I7" s="47">
        <f>(((G7-H7)*1.18)*$O$1)*F7</f>
        <v>130.50800000000001</v>
      </c>
      <c r="J7" s="49"/>
      <c r="K7" s="50"/>
      <c r="L7" s="262">
        <f>I7+J7+K7</f>
        <v>130.50800000000001</v>
      </c>
      <c r="M7" s="262">
        <f>(L7*1.015)</f>
        <v>132.46562</v>
      </c>
      <c r="N7" s="46"/>
      <c r="O7" s="140"/>
      <c r="P7" s="66"/>
      <c r="Q7" s="60">
        <v>28</v>
      </c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7"/>
      <c r="AF7" s="67"/>
      <c r="AG7" s="67"/>
      <c r="AH7" s="67"/>
      <c r="AI7" s="67"/>
      <c r="AJ7" s="67"/>
      <c r="AK7" s="67"/>
      <c r="AL7" s="67"/>
      <c r="AM7" s="5"/>
      <c r="AN7" s="5"/>
      <c r="AO7" s="5"/>
    </row>
    <row r="8" spans="1:41" s="10" customFormat="1" ht="16.5">
      <c r="A8" s="1">
        <v>5</v>
      </c>
      <c r="B8" s="71"/>
      <c r="C8" s="256" t="s">
        <v>60</v>
      </c>
      <c r="D8" s="376" t="s">
        <v>61</v>
      </c>
      <c r="E8" s="375"/>
      <c r="F8" s="9">
        <v>1</v>
      </c>
      <c r="G8" s="56">
        <f t="shared" ref="G8:G15" si="0">IF(SUM(Q8:AI8)&lt;=0,"0",(SMALL(Q8:AI8, COUNTIF(Q8:AI8, "&lt;=0") + 1)))</f>
        <v>100</v>
      </c>
      <c r="H8" s="38"/>
      <c r="I8" s="47">
        <f>(((G8-H8)*1.18)*$O$1)*F8</f>
        <v>466.1</v>
      </c>
      <c r="J8" s="49"/>
      <c r="K8" s="50"/>
      <c r="L8" s="262">
        <f t="shared" ref="L8:L15" si="1">I8+J8+K8</f>
        <v>466.1</v>
      </c>
      <c r="M8" s="262">
        <f t="shared" ref="M8:M15" si="2">(L8*1.015)</f>
        <v>473.0915</v>
      </c>
      <c r="N8" s="46"/>
      <c r="O8" s="140"/>
      <c r="P8" s="66"/>
      <c r="Q8" s="60">
        <v>100</v>
      </c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7"/>
      <c r="AF8" s="67"/>
      <c r="AG8" s="67"/>
      <c r="AH8" s="67"/>
      <c r="AI8" s="67"/>
      <c r="AJ8" s="67"/>
      <c r="AK8" s="67"/>
      <c r="AL8" s="67"/>
      <c r="AM8" s="5"/>
      <c r="AN8" s="5"/>
      <c r="AO8" s="5"/>
    </row>
    <row r="9" spans="1:41" s="10" customFormat="1" ht="16.5">
      <c r="A9" s="1">
        <v>6</v>
      </c>
      <c r="B9" s="71"/>
      <c r="C9" s="256" t="s">
        <v>49</v>
      </c>
      <c r="D9" s="376" t="s">
        <v>62</v>
      </c>
      <c r="E9" s="375"/>
      <c r="F9" s="9">
        <v>1</v>
      </c>
      <c r="G9" s="56">
        <f t="shared" si="0"/>
        <v>27</v>
      </c>
      <c r="H9" s="38"/>
      <c r="I9" s="47">
        <f t="shared" ref="I9:I15" si="3">(((G9-H9)*1.18)*$O$1)*F9</f>
        <v>125.84700000000001</v>
      </c>
      <c r="J9" s="49"/>
      <c r="K9" s="50"/>
      <c r="L9" s="262">
        <f t="shared" si="1"/>
        <v>125.84700000000001</v>
      </c>
      <c r="M9" s="262">
        <f t="shared" si="2"/>
        <v>127.73470499999999</v>
      </c>
      <c r="N9" s="46"/>
      <c r="O9" s="140"/>
      <c r="P9" s="66"/>
      <c r="Q9" s="60">
        <v>27</v>
      </c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7"/>
      <c r="AF9" s="67"/>
      <c r="AG9" s="67"/>
      <c r="AH9" s="67"/>
      <c r="AI9" s="67"/>
      <c r="AJ9" s="67"/>
      <c r="AK9" s="67"/>
      <c r="AL9" s="67"/>
      <c r="AM9" s="5"/>
      <c r="AN9" s="5"/>
      <c r="AO9" s="5"/>
    </row>
    <row r="10" spans="1:41" s="10" customFormat="1" ht="16.5">
      <c r="A10" s="1">
        <v>7</v>
      </c>
      <c r="B10" s="71"/>
      <c r="C10" s="256" t="s">
        <v>63</v>
      </c>
      <c r="D10" s="376" t="s">
        <v>64</v>
      </c>
      <c r="E10" s="375"/>
      <c r="F10" s="9">
        <v>1</v>
      </c>
      <c r="G10" s="56">
        <f t="shared" si="0"/>
        <v>11</v>
      </c>
      <c r="H10" s="38"/>
      <c r="I10" s="47">
        <f t="shared" si="3"/>
        <v>51.270999999999994</v>
      </c>
      <c r="J10" s="49"/>
      <c r="K10" s="50"/>
      <c r="L10" s="262">
        <f t="shared" si="1"/>
        <v>51.270999999999994</v>
      </c>
      <c r="M10" s="262">
        <f t="shared" si="2"/>
        <v>52.040064999999991</v>
      </c>
      <c r="N10" s="46"/>
      <c r="O10" s="140"/>
      <c r="P10" s="66"/>
      <c r="Q10" s="60">
        <v>11</v>
      </c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7"/>
      <c r="AF10" s="67"/>
      <c r="AG10" s="67"/>
      <c r="AH10" s="67"/>
      <c r="AI10" s="67"/>
      <c r="AJ10" s="67"/>
      <c r="AK10" s="67"/>
      <c r="AL10" s="67"/>
      <c r="AM10" s="5"/>
      <c r="AN10" s="5"/>
      <c r="AO10" s="5"/>
    </row>
    <row r="11" spans="1:41" s="10" customFormat="1" ht="16.5">
      <c r="A11" s="1"/>
      <c r="B11" s="71"/>
      <c r="C11" s="256" t="s">
        <v>65</v>
      </c>
      <c r="D11" s="376" t="s">
        <v>66</v>
      </c>
      <c r="E11" s="375"/>
      <c r="F11" s="9">
        <v>1</v>
      </c>
      <c r="G11" s="56">
        <f t="shared" si="0"/>
        <v>10</v>
      </c>
      <c r="H11" s="38"/>
      <c r="I11" s="47">
        <f t="shared" si="3"/>
        <v>46.61</v>
      </c>
      <c r="J11" s="49"/>
      <c r="K11" s="50"/>
      <c r="L11" s="262">
        <f t="shared" si="1"/>
        <v>46.61</v>
      </c>
      <c r="M11" s="262">
        <f t="shared" si="2"/>
        <v>47.309149999999995</v>
      </c>
      <c r="N11" s="46"/>
      <c r="O11" s="140"/>
      <c r="P11" s="66"/>
      <c r="Q11" s="60">
        <v>10</v>
      </c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7"/>
      <c r="AF11" s="67"/>
      <c r="AG11" s="67"/>
      <c r="AH11" s="67"/>
      <c r="AI11" s="67"/>
      <c r="AJ11" s="67"/>
      <c r="AK11" s="67"/>
      <c r="AL11" s="67"/>
      <c r="AM11" s="5"/>
      <c r="AN11" s="5"/>
      <c r="AO11" s="5"/>
    </row>
    <row r="12" spans="1:41" s="10" customFormat="1" ht="16.5">
      <c r="A12" s="1"/>
      <c r="B12" s="71"/>
      <c r="C12" s="256"/>
      <c r="D12" s="376"/>
      <c r="E12" s="375"/>
      <c r="F12" s="9"/>
      <c r="G12" s="56"/>
      <c r="H12" s="38"/>
      <c r="I12" s="47"/>
      <c r="J12" s="49"/>
      <c r="K12" s="50"/>
      <c r="L12" s="262"/>
      <c r="M12" s="262">
        <f>SUM(M4:M11)</f>
        <v>1575.394695</v>
      </c>
      <c r="N12" s="46"/>
      <c r="O12" s="140"/>
      <c r="P12" s="66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7"/>
      <c r="AF12" s="67"/>
      <c r="AG12" s="67"/>
      <c r="AH12" s="67"/>
      <c r="AI12" s="67"/>
      <c r="AJ12" s="67"/>
      <c r="AK12" s="67"/>
      <c r="AL12" s="67"/>
      <c r="AM12" s="5"/>
      <c r="AN12" s="5"/>
      <c r="AO12" s="5"/>
    </row>
    <row r="13" spans="1:41" s="10" customFormat="1" ht="16.5">
      <c r="A13" s="1"/>
      <c r="B13" s="71"/>
      <c r="C13" s="256"/>
      <c r="D13" s="376"/>
      <c r="E13" s="375"/>
      <c r="F13" s="9"/>
      <c r="G13" s="56"/>
      <c r="H13" s="38"/>
      <c r="I13" s="47"/>
      <c r="J13" s="49"/>
      <c r="K13" s="50"/>
      <c r="L13" s="262"/>
      <c r="M13" s="262"/>
      <c r="N13" s="46"/>
      <c r="O13" s="140"/>
      <c r="P13" s="66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7"/>
      <c r="AF13" s="67"/>
      <c r="AG13" s="67"/>
      <c r="AH13" s="67"/>
      <c r="AI13" s="67"/>
      <c r="AJ13" s="67"/>
      <c r="AK13" s="67"/>
      <c r="AL13" s="67"/>
      <c r="AM13" s="5"/>
      <c r="AN13" s="5"/>
      <c r="AO13" s="5"/>
    </row>
    <row r="14" spans="1:41" s="10" customFormat="1" ht="16.5">
      <c r="A14" s="1"/>
      <c r="B14" s="71"/>
      <c r="C14" s="256" t="s">
        <v>67</v>
      </c>
      <c r="D14" s="435" t="s">
        <v>68</v>
      </c>
      <c r="E14" s="441"/>
      <c r="F14" s="9">
        <v>1</v>
      </c>
      <c r="G14" s="56">
        <f t="shared" si="0"/>
        <v>12</v>
      </c>
      <c r="H14" s="38"/>
      <c r="I14" s="47">
        <f t="shared" si="3"/>
        <v>55.932000000000002</v>
      </c>
      <c r="J14" s="49"/>
      <c r="K14" s="50"/>
      <c r="L14" s="262">
        <f t="shared" si="1"/>
        <v>55.932000000000002</v>
      </c>
      <c r="M14" s="262">
        <f t="shared" si="2"/>
        <v>56.770979999999994</v>
      </c>
      <c r="N14" s="46"/>
      <c r="O14" s="140"/>
      <c r="P14" s="66"/>
      <c r="Q14" s="60">
        <v>12</v>
      </c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7"/>
      <c r="AF14" s="67"/>
      <c r="AG14" s="67"/>
      <c r="AH14" s="67"/>
      <c r="AI14" s="67"/>
      <c r="AJ14" s="67"/>
      <c r="AK14" s="67"/>
      <c r="AL14" s="67"/>
      <c r="AM14" s="5"/>
      <c r="AN14" s="5"/>
      <c r="AO14" s="5"/>
    </row>
    <row r="15" spans="1:41" s="10" customFormat="1" ht="16.5">
      <c r="A15" s="1"/>
      <c r="B15" s="71"/>
      <c r="C15" s="256" t="s">
        <v>67</v>
      </c>
      <c r="D15" s="435" t="s">
        <v>69</v>
      </c>
      <c r="E15" s="441"/>
      <c r="F15" s="9">
        <v>1</v>
      </c>
      <c r="G15" s="56">
        <f t="shared" si="0"/>
        <v>58</v>
      </c>
      <c r="H15" s="38"/>
      <c r="I15" s="47">
        <f t="shared" si="3"/>
        <v>270.33800000000002</v>
      </c>
      <c r="J15" s="49"/>
      <c r="K15" s="50"/>
      <c r="L15" s="262">
        <f t="shared" si="1"/>
        <v>270.33800000000002</v>
      </c>
      <c r="M15" s="262">
        <f t="shared" si="2"/>
        <v>274.39307000000002</v>
      </c>
      <c r="N15" s="46"/>
      <c r="O15" s="140"/>
      <c r="P15" s="66"/>
      <c r="Q15" s="60">
        <v>58</v>
      </c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7"/>
      <c r="AF15" s="67"/>
      <c r="AG15" s="67"/>
      <c r="AH15" s="67"/>
      <c r="AI15" s="67"/>
      <c r="AJ15" s="67"/>
      <c r="AK15" s="67"/>
      <c r="AL15" s="67"/>
      <c r="AM15" s="5"/>
      <c r="AN15" s="5"/>
      <c r="AO15" s="5"/>
    </row>
    <row r="16" spans="1:41" s="10" customFormat="1" ht="16.5">
      <c r="A16" s="1">
        <v>8</v>
      </c>
      <c r="B16" s="71"/>
      <c r="C16" s="256" t="s">
        <v>67</v>
      </c>
      <c r="D16" s="434" t="s">
        <v>70</v>
      </c>
      <c r="E16" s="433"/>
      <c r="F16" s="9">
        <v>1</v>
      </c>
      <c r="G16" s="56">
        <f>IF(SUM(Q16:AI16)&lt;=0,"0",(SMALL(Q16:AI16, COUNTIF(Q16:AI16, "&lt;=0") + 1)))</f>
        <v>121</v>
      </c>
      <c r="H16" s="37"/>
      <c r="I16" s="47">
        <f>(((G16-H16)*1.18)*$O$1)*F16</f>
        <v>563.98099999999999</v>
      </c>
      <c r="J16" s="49"/>
      <c r="K16" s="50"/>
      <c r="L16" s="262">
        <f>I16+J16+K16</f>
        <v>563.98099999999999</v>
      </c>
      <c r="M16" s="262">
        <f>(L16*1.015)</f>
        <v>572.44071499999995</v>
      </c>
      <c r="N16" s="46"/>
      <c r="O16" s="140"/>
      <c r="P16" s="66"/>
      <c r="Q16" s="60">
        <v>121</v>
      </c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7"/>
      <c r="AF16" s="67"/>
      <c r="AG16" s="67"/>
      <c r="AH16" s="67"/>
      <c r="AI16" s="67"/>
      <c r="AJ16" s="67"/>
      <c r="AK16" s="67"/>
      <c r="AL16" s="67"/>
      <c r="AM16" s="5"/>
      <c r="AN16" s="5"/>
      <c r="AO16" s="5"/>
    </row>
    <row r="17" spans="1:4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257">
        <f>M12+M14+M15++M16</f>
        <v>2478.99946</v>
      </c>
    </row>
    <row r="18" spans="1:4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41">
      <c r="A19" s="6"/>
      <c r="B19" s="6"/>
      <c r="C19" s="256" t="s">
        <v>38</v>
      </c>
      <c r="D19" s="444" t="s">
        <v>56</v>
      </c>
      <c r="E19" s="443"/>
      <c r="F19" s="6"/>
      <c r="G19" s="6"/>
      <c r="H19" s="6"/>
      <c r="I19" s="6"/>
      <c r="J19" s="6"/>
      <c r="K19" s="6"/>
      <c r="L19" s="6"/>
      <c r="M19" s="6"/>
      <c r="T19"/>
    </row>
    <row r="20" spans="1:41">
      <c r="A20" s="6"/>
      <c r="B20" s="6"/>
      <c r="C20" s="256" t="s">
        <v>41</v>
      </c>
      <c r="D20" s="444" t="s">
        <v>57</v>
      </c>
      <c r="E20" s="443"/>
      <c r="F20" s="6"/>
      <c r="G20" s="6"/>
      <c r="H20" s="6"/>
      <c r="I20" s="6"/>
      <c r="J20" s="6"/>
      <c r="K20" s="6"/>
      <c r="L20" s="6"/>
      <c r="M20" s="6"/>
    </row>
    <row r="21" spans="1:41">
      <c r="A21" s="6"/>
      <c r="B21" s="6"/>
      <c r="C21" s="67" t="s">
        <v>43</v>
      </c>
      <c r="D21" s="443" t="s">
        <v>58</v>
      </c>
      <c r="E21" s="443"/>
      <c r="F21" s="6"/>
      <c r="G21" s="6"/>
      <c r="H21" s="6"/>
      <c r="I21" s="12"/>
      <c r="J21" s="6"/>
      <c r="K21" s="6"/>
      <c r="L21" s="6"/>
      <c r="M21" s="6"/>
    </row>
    <row r="22" spans="1:41">
      <c r="A22" s="6"/>
      <c r="B22" s="6"/>
      <c r="C22" s="256" t="s">
        <v>45</v>
      </c>
      <c r="D22" s="442" t="s">
        <v>59</v>
      </c>
      <c r="E22" s="443"/>
      <c r="F22" s="6"/>
      <c r="G22" s="6"/>
      <c r="H22" s="6"/>
      <c r="I22" s="6"/>
      <c r="J22" s="6"/>
      <c r="K22" s="6"/>
      <c r="L22" s="6"/>
      <c r="M22" s="6"/>
    </row>
    <row r="23" spans="1:41">
      <c r="A23" s="6"/>
      <c r="B23" s="6"/>
      <c r="C23" s="256" t="s">
        <v>60</v>
      </c>
      <c r="D23" s="378" t="s">
        <v>61</v>
      </c>
      <c r="E23" s="377"/>
      <c r="F23" s="6"/>
      <c r="G23" s="6"/>
      <c r="H23" s="6"/>
      <c r="I23" s="6"/>
      <c r="J23" s="6"/>
      <c r="K23" s="6"/>
      <c r="L23" s="6"/>
      <c r="M23" s="257">
        <f>M17+170</f>
        <v>2648.99946</v>
      </c>
    </row>
    <row r="24" spans="1:41">
      <c r="A24" s="6"/>
      <c r="B24" s="6"/>
      <c r="C24" s="256" t="s">
        <v>49</v>
      </c>
      <c r="D24" s="378" t="s">
        <v>62</v>
      </c>
      <c r="E24" s="377"/>
      <c r="F24" s="6"/>
      <c r="G24" s="6"/>
      <c r="H24" s="6"/>
      <c r="I24" s="6"/>
      <c r="J24" s="6"/>
      <c r="K24" s="6"/>
      <c r="L24" s="6"/>
      <c r="M24" s="6"/>
    </row>
    <row r="25" spans="1:41">
      <c r="A25" s="6"/>
      <c r="B25" s="6"/>
      <c r="C25" s="256" t="s">
        <v>65</v>
      </c>
      <c r="D25" s="439" t="s">
        <v>66</v>
      </c>
      <c r="E25" s="440"/>
      <c r="F25" s="6"/>
      <c r="G25" s="6"/>
      <c r="H25" s="6"/>
      <c r="I25" s="6"/>
      <c r="J25" s="6"/>
      <c r="K25" s="6"/>
      <c r="L25" s="6"/>
      <c r="M25" s="6"/>
    </row>
    <row r="26" spans="1:41">
      <c r="A26" s="6"/>
      <c r="B26" s="6"/>
      <c r="C26" s="256" t="s">
        <v>63</v>
      </c>
      <c r="D26" s="378" t="s">
        <v>64</v>
      </c>
      <c r="E26" s="377"/>
      <c r="F26" s="6"/>
      <c r="G26" s="6"/>
      <c r="H26" s="6"/>
      <c r="I26" s="6"/>
      <c r="J26" s="6"/>
      <c r="K26" s="6"/>
      <c r="L26" s="6"/>
      <c r="M26" s="6"/>
    </row>
    <row r="27" spans="1:41">
      <c r="A27" s="6"/>
      <c r="B27" s="6"/>
      <c r="C27" s="6"/>
      <c r="D27" s="7" t="s">
        <v>71</v>
      </c>
      <c r="E27" s="7">
        <v>1999</v>
      </c>
      <c r="F27" s="6"/>
      <c r="G27" s="6"/>
      <c r="H27" s="6"/>
      <c r="I27" s="6"/>
      <c r="J27" s="6"/>
      <c r="K27" s="27"/>
      <c r="L27" s="27"/>
      <c r="M27" s="27"/>
    </row>
    <row r="28" spans="1:41" s="65" customForma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65" customFormat="1">
      <c r="A29" s="5"/>
      <c r="B29" s="5"/>
      <c r="C29" s="5"/>
      <c r="D29" s="5"/>
      <c r="E29" s="5"/>
      <c r="F29" s="5"/>
      <c r="G29" s="5"/>
      <c r="H29" s="5"/>
      <c r="I29" s="6"/>
      <c r="J29" s="5"/>
      <c r="K29" s="5"/>
      <c r="L29" s="5"/>
      <c r="M29" s="5"/>
      <c r="N29" s="5"/>
      <c r="O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65" customFormat="1">
      <c r="A30" s="5"/>
      <c r="B30" s="5"/>
      <c r="C30" s="256" t="s">
        <v>38</v>
      </c>
      <c r="D30" s="444" t="s">
        <v>56</v>
      </c>
      <c r="E30" s="443"/>
      <c r="F30" s="5"/>
      <c r="G30" s="5"/>
      <c r="H30" s="5"/>
      <c r="I30" s="6"/>
      <c r="J30" s="5"/>
      <c r="K30" s="5"/>
      <c r="L30" s="5"/>
      <c r="M30" s="5"/>
      <c r="N30" s="5"/>
      <c r="O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65" customFormat="1">
      <c r="A31" s="5"/>
      <c r="B31" s="5"/>
      <c r="C31" s="256" t="s">
        <v>41</v>
      </c>
      <c r="D31" s="444" t="s">
        <v>57</v>
      </c>
      <c r="E31" s="443"/>
      <c r="F31" s="5"/>
      <c r="G31" s="5"/>
      <c r="H31" s="5"/>
      <c r="I31" s="6"/>
      <c r="J31" s="5"/>
      <c r="K31" s="5"/>
      <c r="L31" s="5"/>
      <c r="M31" s="5"/>
      <c r="N31" s="5"/>
      <c r="O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>
      <c r="C32" s="67" t="s">
        <v>43</v>
      </c>
      <c r="D32" s="443" t="s">
        <v>58</v>
      </c>
      <c r="E32" s="443"/>
    </row>
    <row r="33" spans="1:41" s="65" customFormat="1">
      <c r="A33" s="5"/>
      <c r="B33" s="5"/>
      <c r="C33" s="256" t="s">
        <v>45</v>
      </c>
      <c r="D33" s="442" t="s">
        <v>59</v>
      </c>
      <c r="E33" s="443"/>
      <c r="F33" s="5"/>
      <c r="G33" s="5"/>
      <c r="H33" s="5"/>
      <c r="I33" s="29"/>
      <c r="J33" s="5"/>
      <c r="K33" s="5"/>
      <c r="L33" s="5"/>
      <c r="M33" s="5"/>
      <c r="N33" s="5"/>
      <c r="O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>
      <c r="C34" s="256" t="s">
        <v>60</v>
      </c>
      <c r="D34" s="378" t="s">
        <v>61</v>
      </c>
      <c r="E34" s="377"/>
      <c r="L34" s="103">
        <f>E41-M17</f>
        <v>420.00054</v>
      </c>
    </row>
    <row r="35" spans="1:41">
      <c r="C35" s="256" t="s">
        <v>49</v>
      </c>
      <c r="D35" s="378" t="s">
        <v>62</v>
      </c>
      <c r="E35" s="377"/>
    </row>
    <row r="36" spans="1:41">
      <c r="C36" s="256" t="s">
        <v>65</v>
      </c>
      <c r="D36" s="439" t="s">
        <v>66</v>
      </c>
      <c r="E36" s="440"/>
    </row>
    <row r="37" spans="1:41">
      <c r="C37" s="256" t="s">
        <v>63</v>
      </c>
      <c r="D37" s="378" t="s">
        <v>64</v>
      </c>
      <c r="E37" s="377"/>
    </row>
    <row r="38" spans="1:41">
      <c r="C38" s="256" t="s">
        <v>67</v>
      </c>
      <c r="D38" s="435" t="s">
        <v>68</v>
      </c>
      <c r="E38" s="441"/>
    </row>
    <row r="39" spans="1:41">
      <c r="C39" s="256" t="s">
        <v>67</v>
      </c>
      <c r="D39" s="435" t="s">
        <v>69</v>
      </c>
      <c r="E39" s="441"/>
    </row>
    <row r="40" spans="1:41">
      <c r="C40" s="256" t="s">
        <v>67</v>
      </c>
      <c r="D40" s="434" t="s">
        <v>72</v>
      </c>
      <c r="E40" s="433"/>
    </row>
    <row r="41" spans="1:41">
      <c r="C41" s="6"/>
      <c r="D41" s="7" t="s">
        <v>71</v>
      </c>
      <c r="E41" s="7">
        <v>2899</v>
      </c>
    </row>
    <row r="43" spans="1:41" s="65" customForma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56" spans="7:7" ht="15.75" thickBot="1"/>
    <row r="57" spans="7:7" ht="15.75" thickBot="1">
      <c r="G57" s="31"/>
    </row>
    <row r="76" spans="10:13">
      <c r="M76"/>
    </row>
    <row r="77" spans="10:13">
      <c r="J77"/>
      <c r="M77"/>
    </row>
    <row r="89" spans="10:10">
      <c r="J89"/>
    </row>
    <row r="90" spans="10:10">
      <c r="J90"/>
    </row>
    <row r="96" spans="10:10">
      <c r="J96"/>
    </row>
    <row r="97" spans="10:10">
      <c r="J97"/>
    </row>
    <row r="100" spans="10:10">
      <c r="J100"/>
    </row>
    <row r="103" spans="10:10">
      <c r="J103"/>
    </row>
    <row r="123" spans="7:13">
      <c r="K123" s="5">
        <v>35.19</v>
      </c>
      <c r="M123" s="5">
        <v>24.6</v>
      </c>
    </row>
    <row r="124" spans="7:13">
      <c r="K124" s="5">
        <v>52.92</v>
      </c>
      <c r="M124" s="5">
        <v>3176.17</v>
      </c>
    </row>
    <row r="125" spans="7:13">
      <c r="K125" s="5">
        <f>SUM(K123:K124)</f>
        <v>88.11</v>
      </c>
      <c r="M125" s="5">
        <v>850.22</v>
      </c>
    </row>
    <row r="126" spans="7:13">
      <c r="M126" s="5">
        <f>SUM(M123:M125)</f>
        <v>4050.99</v>
      </c>
    </row>
    <row r="127" spans="7:13">
      <c r="J127" s="5">
        <v>789</v>
      </c>
    </row>
    <row r="128" spans="7:13">
      <c r="G128" s="5">
        <v>4619</v>
      </c>
    </row>
    <row r="129" spans="7:13">
      <c r="G129" s="5">
        <v>100</v>
      </c>
      <c r="M129" s="5">
        <f>M126-2100</f>
        <v>1950.9899999999998</v>
      </c>
    </row>
    <row r="130" spans="7:13">
      <c r="G130" s="5">
        <v>5000</v>
      </c>
    </row>
    <row r="131" spans="7:13">
      <c r="G131" s="5">
        <f>SUM(G128:G130)</f>
        <v>9719</v>
      </c>
    </row>
    <row r="133" spans="7:13">
      <c r="M133" s="5">
        <f>M129/3.26</f>
        <v>598.46319018404904</v>
      </c>
    </row>
    <row r="136" spans="7:13">
      <c r="K136" s="5">
        <f>M133+K125</f>
        <v>686.57319018404905</v>
      </c>
    </row>
  </sheetData>
  <mergeCells count="29">
    <mergeCell ref="A1:B1"/>
    <mergeCell ref="E1:F1"/>
    <mergeCell ref="G1:H1"/>
    <mergeCell ref="J1:K1"/>
    <mergeCell ref="M1:N1"/>
    <mergeCell ref="D21:E21"/>
    <mergeCell ref="Q2:V2"/>
    <mergeCell ref="A3:I3"/>
    <mergeCell ref="D4:E4"/>
    <mergeCell ref="D5:E5"/>
    <mergeCell ref="D6:E6"/>
    <mergeCell ref="D7:E7"/>
    <mergeCell ref="A2:B2"/>
    <mergeCell ref="D2:E2"/>
    <mergeCell ref="D14:E14"/>
    <mergeCell ref="D15:E15"/>
    <mergeCell ref="D16:E16"/>
    <mergeCell ref="D19:E19"/>
    <mergeCell ref="D20:E20"/>
    <mergeCell ref="D36:E36"/>
    <mergeCell ref="D38:E38"/>
    <mergeCell ref="D39:E39"/>
    <mergeCell ref="D40:E40"/>
    <mergeCell ref="D22:E22"/>
    <mergeCell ref="D25:E25"/>
    <mergeCell ref="D30:E30"/>
    <mergeCell ref="D31:E31"/>
    <mergeCell ref="D32:E32"/>
    <mergeCell ref="D33:E33"/>
  </mergeCells>
  <hyperlinks>
    <hyperlink ref="AL4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36"/>
  <sheetViews>
    <sheetView zoomScale="80" zoomScaleNormal="80" workbookViewId="0">
      <pane ySplit="2" topLeftCell="A9" activePane="bottomLeft" state="frozen"/>
      <selection pane="bottomLeft" activeCell="L30" sqref="L30"/>
    </sheetView>
  </sheetViews>
  <sheetFormatPr defaultColWidth="11.42578125" defaultRowHeight="15"/>
  <cols>
    <col min="1" max="1" width="2.7109375" style="5" customWidth="1"/>
    <col min="2" max="2" width="2.85546875" style="5" customWidth="1"/>
    <col min="3" max="3" width="12.42578125" style="5" customWidth="1"/>
    <col min="4" max="4" width="17.42578125" style="5" customWidth="1"/>
    <col min="5" max="5" width="35.5703125" style="5" customWidth="1"/>
    <col min="6" max="6" width="6.140625" style="5" customWidth="1"/>
    <col min="7" max="7" width="8.7109375" style="5" customWidth="1"/>
    <col min="8" max="8" width="5.140625" style="5" customWidth="1"/>
    <col min="9" max="9" width="12.7109375" style="5" customWidth="1"/>
    <col min="10" max="10" width="6.5703125" style="5" customWidth="1"/>
    <col min="11" max="11" width="5.7109375" style="5" customWidth="1"/>
    <col min="12" max="12" width="8.85546875" style="5" customWidth="1"/>
    <col min="13" max="13" width="9.28515625" style="5" customWidth="1"/>
    <col min="14" max="14" width="7.140625" style="5" customWidth="1"/>
    <col min="15" max="15" width="8.28515625" style="5" customWidth="1"/>
    <col min="16" max="16" width="1.140625" style="65" customWidth="1"/>
    <col min="17" max="17" width="8.7109375" style="5" customWidth="1"/>
    <col min="18" max="18" width="7" style="5" customWidth="1"/>
    <col min="19" max="19" width="6.5703125" style="5" customWidth="1"/>
    <col min="20" max="20" width="6.85546875" style="5" customWidth="1"/>
    <col min="21" max="21" width="7.42578125" style="5" bestFit="1" customWidth="1"/>
    <col min="22" max="22" width="8.5703125" style="5" customWidth="1"/>
    <col min="23" max="23" width="6.7109375" style="5" customWidth="1"/>
    <col min="24" max="24" width="7.42578125" style="5" bestFit="1" customWidth="1"/>
    <col min="25" max="25" width="7" style="5" bestFit="1" customWidth="1"/>
    <col min="26" max="26" width="6.85546875" style="5" customWidth="1"/>
    <col min="27" max="28" width="7.5703125" style="5" customWidth="1"/>
    <col min="29" max="29" width="8.5703125" style="5" bestFit="1" customWidth="1"/>
    <col min="30" max="30" width="8.7109375" style="5" bestFit="1" customWidth="1"/>
    <col min="31" max="31" width="7.5703125" style="5" customWidth="1"/>
    <col min="32" max="32" width="8" style="5" bestFit="1" customWidth="1"/>
    <col min="33" max="33" width="7.42578125" style="5" customWidth="1"/>
    <col min="34" max="34" width="9.140625" style="5" bestFit="1" customWidth="1"/>
    <col min="35" max="35" width="9.140625" style="5" customWidth="1"/>
    <col min="36" max="16384" width="11.42578125" style="5"/>
  </cols>
  <sheetData>
    <row r="1" spans="1:41" ht="21.75" thickTop="1" thickBot="1">
      <c r="A1" s="381" t="s">
        <v>0</v>
      </c>
      <c r="B1" s="381"/>
      <c r="C1" s="258">
        <v>0.1</v>
      </c>
      <c r="D1" s="374" t="s">
        <v>1</v>
      </c>
      <c r="E1" s="382">
        <v>1199</v>
      </c>
      <c r="F1" s="382"/>
      <c r="G1" s="383" t="s">
        <v>2</v>
      </c>
      <c r="H1" s="384"/>
      <c r="I1" s="259">
        <f>E1/1.18</f>
        <v>1016.1016949152543</v>
      </c>
      <c r="J1" s="436">
        <f>E1-I1</f>
        <v>182.89830508474574</v>
      </c>
      <c r="K1" s="437"/>
      <c r="L1" s="73"/>
      <c r="M1" s="438" t="s">
        <v>3</v>
      </c>
      <c r="N1" s="438"/>
      <c r="O1" s="223">
        <v>3.95</v>
      </c>
    </row>
    <row r="2" spans="1:41" ht="29.25" customHeight="1" thickTop="1" thickBot="1">
      <c r="A2" s="387" t="s">
        <v>4</v>
      </c>
      <c r="B2" s="388"/>
      <c r="C2" s="260" t="s">
        <v>5</v>
      </c>
      <c r="D2" s="389" t="s">
        <v>6</v>
      </c>
      <c r="E2" s="390"/>
      <c r="F2" s="261" t="s">
        <v>7</v>
      </c>
      <c r="G2" s="69" t="s">
        <v>8</v>
      </c>
      <c r="H2" s="45" t="s">
        <v>9</v>
      </c>
      <c r="I2" s="3" t="s">
        <v>10</v>
      </c>
      <c r="J2" s="8"/>
      <c r="K2" s="8"/>
      <c r="L2" s="8"/>
      <c r="M2" s="8"/>
      <c r="Q2" s="396" t="s">
        <v>11</v>
      </c>
      <c r="R2" s="396"/>
      <c r="S2" s="396"/>
      <c r="T2" s="396"/>
      <c r="U2" s="396"/>
      <c r="V2" s="396"/>
      <c r="W2" s="373"/>
      <c r="X2" s="373"/>
    </row>
    <row r="3" spans="1:41" ht="15.75" customHeight="1" thickBot="1">
      <c r="A3" s="431" t="s">
        <v>12</v>
      </c>
      <c r="B3" s="431"/>
      <c r="C3" s="431"/>
      <c r="D3" s="431"/>
      <c r="E3" s="431"/>
      <c r="F3" s="431"/>
      <c r="G3" s="431"/>
      <c r="H3" s="431"/>
      <c r="I3" s="431"/>
      <c r="J3" s="72" t="s">
        <v>13</v>
      </c>
      <c r="K3" s="76" t="s">
        <v>14</v>
      </c>
      <c r="L3" s="76" t="s">
        <v>15</v>
      </c>
      <c r="M3" s="4" t="s">
        <v>16</v>
      </c>
      <c r="N3" s="77"/>
      <c r="O3" s="61" t="s">
        <v>17</v>
      </c>
      <c r="P3" s="66"/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67"/>
      <c r="AK3" s="67"/>
      <c r="AL3" s="67"/>
    </row>
    <row r="4" spans="1:41" ht="16.5" customHeight="1">
      <c r="A4" s="1">
        <v>1</v>
      </c>
      <c r="B4" s="70" t="s">
        <v>37</v>
      </c>
      <c r="C4" s="256" t="s">
        <v>38</v>
      </c>
      <c r="D4" s="432" t="s">
        <v>56</v>
      </c>
      <c r="E4" s="433"/>
      <c r="F4" s="9">
        <v>1</v>
      </c>
      <c r="G4" s="56">
        <f>IF(SUM(Q4:AI4)&lt;=0,"0",(SMALL(Q4:AI4, COUNTIF(Q4:AI4, "&lt;=0") + 1)))</f>
        <v>116</v>
      </c>
      <c r="H4" s="36"/>
      <c r="I4" s="47">
        <f>(((G4-H4)*1.18)*$O$1)*F4</f>
        <v>540.67600000000004</v>
      </c>
      <c r="J4" s="49"/>
      <c r="K4" s="75"/>
      <c r="L4" s="262">
        <f>I4+J4+K4</f>
        <v>540.67600000000004</v>
      </c>
      <c r="M4" s="262">
        <f>(L4*1.015)</f>
        <v>548.78614000000005</v>
      </c>
      <c r="N4" s="46"/>
      <c r="O4" s="140"/>
      <c r="P4" s="66"/>
      <c r="Q4" s="60">
        <v>116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7"/>
      <c r="AK4" s="67"/>
      <c r="AL4" s="255" t="s">
        <v>40</v>
      </c>
    </row>
    <row r="5" spans="1:41" ht="16.5" customHeight="1">
      <c r="A5" s="1">
        <v>2</v>
      </c>
      <c r="B5" s="71"/>
      <c r="C5" s="256" t="s">
        <v>41</v>
      </c>
      <c r="D5" s="432" t="s">
        <v>57</v>
      </c>
      <c r="E5" s="433"/>
      <c r="F5" s="9">
        <v>1</v>
      </c>
      <c r="G5" s="56">
        <f>IF(SUM(Q5:AI5)&lt;=0,"0",(SMALL(Q5:AI5, COUNTIF(Q5:AI5, "&lt;=0") + 1)))</f>
        <v>72</v>
      </c>
      <c r="H5" s="58"/>
      <c r="I5" s="47">
        <f>(((G5-H5)*1.18)*$O$1)*F5</f>
        <v>335.59199999999998</v>
      </c>
      <c r="J5" s="49"/>
      <c r="K5" s="50"/>
      <c r="L5" s="262">
        <f>I5+J5+K5</f>
        <v>335.59199999999998</v>
      </c>
      <c r="M5" s="262">
        <f>(L5*1.015)</f>
        <v>340.62587999999994</v>
      </c>
      <c r="N5" s="46"/>
      <c r="O5" s="140"/>
      <c r="P5" s="66"/>
      <c r="Q5" s="60">
        <v>72</v>
      </c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7"/>
      <c r="AF5" s="67"/>
      <c r="AG5" s="67"/>
      <c r="AH5" s="67"/>
      <c r="AI5" s="67"/>
      <c r="AJ5" s="67"/>
      <c r="AK5" s="67"/>
      <c r="AL5" s="67"/>
    </row>
    <row r="6" spans="1:41" s="10" customFormat="1" ht="16.5">
      <c r="A6" s="1">
        <v>3</v>
      </c>
      <c r="B6" s="71"/>
      <c r="C6" s="5" t="s">
        <v>43</v>
      </c>
      <c r="D6" s="434" t="s">
        <v>58</v>
      </c>
      <c r="E6" s="433"/>
      <c r="F6" s="9">
        <v>1</v>
      </c>
      <c r="G6" s="56">
        <f>IF(SUM(Q6:AI6)&lt;=0,"0",(SMALL(Q6:AI6, COUNTIF(Q6:AI6, "&lt;=0") + 1)))</f>
        <v>22</v>
      </c>
      <c r="H6" s="37"/>
      <c r="I6" s="47">
        <f>(((G6-H6)*1.18)*$O$1)*F6</f>
        <v>102.54199999999999</v>
      </c>
      <c r="J6" s="49"/>
      <c r="K6" s="50"/>
      <c r="L6" s="262">
        <f>I6+J6+K6</f>
        <v>102.54199999999999</v>
      </c>
      <c r="M6" s="262">
        <f>(L6*1.015)</f>
        <v>104.08012999999998</v>
      </c>
      <c r="N6" s="46"/>
      <c r="O6" s="140"/>
      <c r="P6" s="66"/>
      <c r="Q6" s="60">
        <v>22</v>
      </c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7"/>
      <c r="AF6" s="67"/>
      <c r="AG6" s="67"/>
      <c r="AH6" s="67"/>
      <c r="AI6" s="67"/>
      <c r="AJ6" s="67"/>
      <c r="AK6" s="67"/>
      <c r="AL6" s="67"/>
      <c r="AM6" s="5"/>
      <c r="AN6" s="5"/>
      <c r="AO6" s="5"/>
    </row>
    <row r="7" spans="1:41" s="10" customFormat="1" ht="16.5">
      <c r="A7" s="1">
        <v>4</v>
      </c>
      <c r="B7" s="71"/>
      <c r="C7" s="256" t="s">
        <v>45</v>
      </c>
      <c r="D7" s="435" t="s">
        <v>59</v>
      </c>
      <c r="E7" s="433"/>
      <c r="F7" s="9">
        <v>1</v>
      </c>
      <c r="G7" s="56">
        <f>IF(SUM(Q7:AI7)&lt;=0,"0",(SMALL(Q7:AI7, COUNTIF(Q7:AI7, "&lt;=0") + 1)))</f>
        <v>28</v>
      </c>
      <c r="H7" s="38"/>
      <c r="I7" s="47">
        <f>(((G7-H7)*1.18)*$O$1)*F7</f>
        <v>130.50800000000001</v>
      </c>
      <c r="J7" s="49"/>
      <c r="K7" s="50"/>
      <c r="L7" s="262">
        <f>I7+J7+K7</f>
        <v>130.50800000000001</v>
      </c>
      <c r="M7" s="262">
        <f>(L7*1.015)</f>
        <v>132.46562</v>
      </c>
      <c r="N7" s="46"/>
      <c r="O7" s="140"/>
      <c r="P7" s="66"/>
      <c r="Q7" s="60">
        <v>28</v>
      </c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7"/>
      <c r="AF7" s="67"/>
      <c r="AG7" s="67"/>
      <c r="AH7" s="67"/>
      <c r="AI7" s="67"/>
      <c r="AJ7" s="67"/>
      <c r="AK7" s="67"/>
      <c r="AL7" s="67"/>
      <c r="AM7" s="5"/>
      <c r="AN7" s="5"/>
      <c r="AO7" s="5"/>
    </row>
    <row r="8" spans="1:41" s="10" customFormat="1" ht="16.5">
      <c r="A8" s="1">
        <v>5</v>
      </c>
      <c r="B8" s="71"/>
      <c r="C8" s="256" t="s">
        <v>60</v>
      </c>
      <c r="D8" s="376" t="s">
        <v>61</v>
      </c>
      <c r="E8" s="375"/>
      <c r="F8" s="9">
        <v>1</v>
      </c>
      <c r="G8" s="56">
        <f t="shared" ref="G8:G15" si="0">IF(SUM(Q8:AI8)&lt;=0,"0",(SMALL(Q8:AI8, COUNTIF(Q8:AI8, "&lt;=0") + 1)))</f>
        <v>100</v>
      </c>
      <c r="H8" s="38"/>
      <c r="I8" s="47">
        <f>(((G8-H8)*1.18)*$O$1)*F8</f>
        <v>466.1</v>
      </c>
      <c r="J8" s="49"/>
      <c r="K8" s="50"/>
      <c r="L8" s="262">
        <f t="shared" ref="L8:L15" si="1">I8+J8+K8</f>
        <v>466.1</v>
      </c>
      <c r="M8" s="262">
        <f t="shared" ref="M8:M15" si="2">(L8*1.015)</f>
        <v>473.0915</v>
      </c>
      <c r="N8" s="46"/>
      <c r="O8" s="140"/>
      <c r="P8" s="66"/>
      <c r="Q8" s="60">
        <v>100</v>
      </c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7"/>
      <c r="AF8" s="67"/>
      <c r="AG8" s="67"/>
      <c r="AH8" s="67"/>
      <c r="AI8" s="67"/>
      <c r="AJ8" s="67"/>
      <c r="AK8" s="67"/>
      <c r="AL8" s="67"/>
      <c r="AM8" s="5"/>
      <c r="AN8" s="5"/>
      <c r="AO8" s="5"/>
    </row>
    <row r="9" spans="1:41" s="10" customFormat="1" ht="16.5">
      <c r="A9" s="1">
        <v>6</v>
      </c>
      <c r="B9" s="71"/>
      <c r="C9" s="256" t="s">
        <v>49</v>
      </c>
      <c r="D9" s="376" t="s">
        <v>62</v>
      </c>
      <c r="E9" s="375"/>
      <c r="F9" s="9">
        <v>1</v>
      </c>
      <c r="G9" s="56">
        <f t="shared" si="0"/>
        <v>27</v>
      </c>
      <c r="H9" s="38"/>
      <c r="I9" s="47">
        <f t="shared" ref="I9:I15" si="3">(((G9-H9)*1.18)*$O$1)*F9</f>
        <v>125.84700000000001</v>
      </c>
      <c r="J9" s="49"/>
      <c r="K9" s="50"/>
      <c r="L9" s="262">
        <f t="shared" si="1"/>
        <v>125.84700000000001</v>
      </c>
      <c r="M9" s="262">
        <f t="shared" si="2"/>
        <v>127.73470499999999</v>
      </c>
      <c r="N9" s="46"/>
      <c r="O9" s="140"/>
      <c r="P9" s="66"/>
      <c r="Q9" s="60">
        <v>27</v>
      </c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7"/>
      <c r="AF9" s="67"/>
      <c r="AG9" s="67"/>
      <c r="AH9" s="67"/>
      <c r="AI9" s="67"/>
      <c r="AJ9" s="67"/>
      <c r="AK9" s="67"/>
      <c r="AL9" s="67"/>
      <c r="AM9" s="5"/>
      <c r="AN9" s="5"/>
      <c r="AO9" s="5"/>
    </row>
    <row r="10" spans="1:41" s="10" customFormat="1" ht="16.5">
      <c r="A10" s="1">
        <v>7</v>
      </c>
      <c r="B10" s="71"/>
      <c r="C10" s="256" t="s">
        <v>63</v>
      </c>
      <c r="D10" s="376" t="s">
        <v>64</v>
      </c>
      <c r="E10" s="375"/>
      <c r="F10" s="9">
        <v>1</v>
      </c>
      <c r="G10" s="56">
        <f t="shared" si="0"/>
        <v>11</v>
      </c>
      <c r="H10" s="38"/>
      <c r="I10" s="47">
        <f t="shared" si="3"/>
        <v>51.270999999999994</v>
      </c>
      <c r="J10" s="49"/>
      <c r="K10" s="50"/>
      <c r="L10" s="262">
        <f t="shared" si="1"/>
        <v>51.270999999999994</v>
      </c>
      <c r="M10" s="262">
        <f t="shared" si="2"/>
        <v>52.040064999999991</v>
      </c>
      <c r="N10" s="46"/>
      <c r="O10" s="140"/>
      <c r="P10" s="66"/>
      <c r="Q10" s="60">
        <v>11</v>
      </c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7"/>
      <c r="AF10" s="67"/>
      <c r="AG10" s="67"/>
      <c r="AH10" s="67"/>
      <c r="AI10" s="67"/>
      <c r="AJ10" s="67"/>
      <c r="AK10" s="67"/>
      <c r="AL10" s="67"/>
      <c r="AM10" s="5"/>
      <c r="AN10" s="5"/>
      <c r="AO10" s="5"/>
    </row>
    <row r="11" spans="1:41" s="10" customFormat="1" ht="16.5">
      <c r="A11" s="1"/>
      <c r="B11" s="71"/>
      <c r="C11" s="256" t="s">
        <v>65</v>
      </c>
      <c r="D11" s="376" t="s">
        <v>66</v>
      </c>
      <c r="E11" s="375"/>
      <c r="F11" s="9">
        <v>1</v>
      </c>
      <c r="G11" s="56">
        <f t="shared" si="0"/>
        <v>10</v>
      </c>
      <c r="H11" s="38"/>
      <c r="I11" s="47">
        <f t="shared" si="3"/>
        <v>46.61</v>
      </c>
      <c r="J11" s="49"/>
      <c r="K11" s="50"/>
      <c r="L11" s="262">
        <f>I11+J11+K11</f>
        <v>46.61</v>
      </c>
      <c r="M11" s="262">
        <f t="shared" si="2"/>
        <v>47.309149999999995</v>
      </c>
      <c r="N11" s="46"/>
      <c r="O11" s="140"/>
      <c r="P11" s="66"/>
      <c r="Q11" s="60">
        <v>10</v>
      </c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7"/>
      <c r="AF11" s="67"/>
      <c r="AG11" s="67"/>
      <c r="AH11" s="67"/>
      <c r="AI11" s="67"/>
      <c r="AJ11" s="67"/>
      <c r="AK11" s="67"/>
      <c r="AL11" s="67"/>
      <c r="AM11" s="5"/>
      <c r="AN11" s="5"/>
      <c r="AO11" s="5"/>
    </row>
    <row r="12" spans="1:41" s="10" customFormat="1" ht="16.5">
      <c r="A12" s="1"/>
      <c r="B12" s="71"/>
      <c r="C12" s="256"/>
      <c r="D12" s="376"/>
      <c r="E12" s="375"/>
      <c r="F12" s="9"/>
      <c r="G12" s="56"/>
      <c r="H12" s="38"/>
      <c r="I12" s="47"/>
      <c r="J12" s="49"/>
      <c r="K12" s="50"/>
      <c r="L12" s="262"/>
      <c r="M12" s="262">
        <f>SUM(M4:M11)</f>
        <v>1826.13319</v>
      </c>
      <c r="N12" s="46"/>
      <c r="O12" s="140"/>
      <c r="P12" s="66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7"/>
      <c r="AF12" s="67"/>
      <c r="AG12" s="67"/>
      <c r="AH12" s="67"/>
      <c r="AI12" s="67"/>
      <c r="AJ12" s="67"/>
      <c r="AK12" s="67"/>
      <c r="AL12" s="67"/>
      <c r="AM12" s="5"/>
      <c r="AN12" s="5"/>
      <c r="AO12" s="5"/>
    </row>
    <row r="13" spans="1:41" s="10" customFormat="1" ht="16.5">
      <c r="A13" s="1"/>
      <c r="B13" s="71"/>
      <c r="C13" s="256"/>
      <c r="D13" s="376"/>
      <c r="E13" s="375"/>
      <c r="F13" s="9"/>
      <c r="G13" s="56"/>
      <c r="H13" s="38"/>
      <c r="I13" s="47"/>
      <c r="J13" s="49"/>
      <c r="K13" s="50"/>
      <c r="L13" s="262"/>
      <c r="M13" s="262"/>
      <c r="N13" s="46"/>
      <c r="O13" s="140"/>
      <c r="P13" s="66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7"/>
      <c r="AF13" s="67"/>
      <c r="AG13" s="67"/>
      <c r="AH13" s="67"/>
      <c r="AI13" s="67"/>
      <c r="AJ13" s="67"/>
      <c r="AK13" s="67"/>
      <c r="AL13" s="67"/>
      <c r="AM13" s="5"/>
      <c r="AN13" s="5"/>
      <c r="AO13" s="5"/>
    </row>
    <row r="14" spans="1:41" s="10" customFormat="1" ht="16.5">
      <c r="A14" s="1"/>
      <c r="B14" s="71"/>
      <c r="C14" s="256" t="s">
        <v>67</v>
      </c>
      <c r="D14" s="435" t="s">
        <v>68</v>
      </c>
      <c r="E14" s="441"/>
      <c r="F14" s="9">
        <v>1</v>
      </c>
      <c r="G14" s="56">
        <f t="shared" si="0"/>
        <v>12</v>
      </c>
      <c r="H14" s="38"/>
      <c r="I14" s="47">
        <f t="shared" si="3"/>
        <v>55.932000000000002</v>
      </c>
      <c r="J14" s="49"/>
      <c r="K14" s="50"/>
      <c r="L14" s="262">
        <f t="shared" si="1"/>
        <v>55.932000000000002</v>
      </c>
      <c r="M14" s="262">
        <f t="shared" si="2"/>
        <v>56.770979999999994</v>
      </c>
      <c r="N14" s="46"/>
      <c r="O14" s="140"/>
      <c r="P14" s="66"/>
      <c r="Q14" s="60">
        <v>12</v>
      </c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7"/>
      <c r="AF14" s="67"/>
      <c r="AG14" s="67"/>
      <c r="AH14" s="67"/>
      <c r="AI14" s="67"/>
      <c r="AJ14" s="67"/>
      <c r="AK14" s="67"/>
      <c r="AL14" s="67"/>
      <c r="AM14" s="5"/>
      <c r="AN14" s="5"/>
      <c r="AO14" s="5"/>
    </row>
    <row r="15" spans="1:41" s="10" customFormat="1" ht="16.5">
      <c r="A15" s="1"/>
      <c r="B15" s="71"/>
      <c r="C15" s="256" t="s">
        <v>67</v>
      </c>
      <c r="D15" s="435" t="s">
        <v>69</v>
      </c>
      <c r="E15" s="441"/>
      <c r="F15" s="9">
        <v>1</v>
      </c>
      <c r="G15" s="56">
        <f t="shared" si="0"/>
        <v>58</v>
      </c>
      <c r="H15" s="38"/>
      <c r="I15" s="47">
        <f t="shared" si="3"/>
        <v>270.33800000000002</v>
      </c>
      <c r="J15" s="49"/>
      <c r="K15" s="50"/>
      <c r="L15" s="262">
        <f t="shared" si="1"/>
        <v>270.33800000000002</v>
      </c>
      <c r="M15" s="262">
        <f t="shared" si="2"/>
        <v>274.39307000000002</v>
      </c>
      <c r="N15" s="46"/>
      <c r="O15" s="140"/>
      <c r="P15" s="66"/>
      <c r="Q15" s="60">
        <v>58</v>
      </c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7"/>
      <c r="AF15" s="67"/>
      <c r="AG15" s="67"/>
      <c r="AH15" s="67"/>
      <c r="AI15" s="67"/>
      <c r="AJ15" s="67"/>
      <c r="AK15" s="67"/>
      <c r="AL15" s="67"/>
      <c r="AM15" s="5"/>
      <c r="AN15" s="5"/>
      <c r="AO15" s="5"/>
    </row>
    <row r="16" spans="1:41" s="10" customFormat="1" ht="16.5">
      <c r="A16" s="1">
        <v>8</v>
      </c>
      <c r="B16" s="71"/>
      <c r="C16" s="256" t="s">
        <v>67</v>
      </c>
      <c r="D16" s="434" t="s">
        <v>70</v>
      </c>
      <c r="E16" s="433"/>
      <c r="F16" s="9">
        <v>1</v>
      </c>
      <c r="G16" s="56">
        <f>IF(SUM(Q16:AI16)&lt;=0,"0",(SMALL(Q16:AI16, COUNTIF(Q16:AI16, "&lt;=0") + 1)))</f>
        <v>121</v>
      </c>
      <c r="H16" s="37"/>
      <c r="I16" s="47">
        <f>(((G16-H16)*1.18)*$O$1)*F16</f>
        <v>563.98099999999999</v>
      </c>
      <c r="J16" s="49"/>
      <c r="K16" s="50"/>
      <c r="L16" s="262">
        <f>I16+J16+K16</f>
        <v>563.98099999999999</v>
      </c>
      <c r="M16" s="262">
        <f>(L16*1.015)</f>
        <v>572.44071499999995</v>
      </c>
      <c r="N16" s="46"/>
      <c r="O16" s="140"/>
      <c r="P16" s="66"/>
      <c r="Q16" s="60">
        <v>121</v>
      </c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7"/>
      <c r="AF16" s="67"/>
      <c r="AG16" s="67"/>
      <c r="AH16" s="67"/>
      <c r="AI16" s="67"/>
      <c r="AJ16" s="67"/>
      <c r="AK16" s="67"/>
      <c r="AL16" s="67"/>
      <c r="AM16" s="5"/>
      <c r="AN16" s="5"/>
      <c r="AO16" s="5"/>
    </row>
    <row r="17" spans="1:4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257">
        <f>M12+M14+M15++M16</f>
        <v>2729.7379549999996</v>
      </c>
    </row>
    <row r="18" spans="1:4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41">
      <c r="A19" s="6"/>
      <c r="B19" s="6"/>
      <c r="C19" s="256" t="s">
        <v>38</v>
      </c>
      <c r="D19" s="444" t="s">
        <v>56</v>
      </c>
      <c r="E19" s="443"/>
      <c r="F19" s="6"/>
      <c r="G19" s="6"/>
      <c r="H19" s="6"/>
      <c r="I19" s="6"/>
      <c r="J19" s="6"/>
      <c r="K19" s="6"/>
      <c r="L19" s="6"/>
      <c r="M19" s="6"/>
      <c r="T19"/>
    </row>
    <row r="20" spans="1:41">
      <c r="A20" s="6"/>
      <c r="B20" s="6"/>
      <c r="C20" s="256" t="s">
        <v>41</v>
      </c>
      <c r="D20" s="444" t="s">
        <v>57</v>
      </c>
      <c r="E20" s="443"/>
      <c r="F20" s="6"/>
      <c r="G20" s="6"/>
      <c r="H20" s="6"/>
      <c r="I20" s="6"/>
      <c r="J20" s="6"/>
      <c r="K20" s="6"/>
      <c r="L20" s="6"/>
      <c r="M20" s="6"/>
    </row>
    <row r="21" spans="1:41">
      <c r="A21" s="6"/>
      <c r="B21" s="6"/>
      <c r="C21" s="67" t="s">
        <v>43</v>
      </c>
      <c r="D21" s="443" t="s">
        <v>58</v>
      </c>
      <c r="E21" s="443"/>
      <c r="F21" s="6"/>
      <c r="G21" s="6"/>
      <c r="H21" s="6"/>
      <c r="I21" s="12"/>
      <c r="J21" s="6"/>
      <c r="K21" s="6"/>
      <c r="L21" s="6"/>
      <c r="M21" s="6"/>
    </row>
    <row r="22" spans="1:41">
      <c r="A22" s="6"/>
      <c r="B22" s="6"/>
      <c r="C22" s="256" t="s">
        <v>45</v>
      </c>
      <c r="D22" s="442" t="s">
        <v>59</v>
      </c>
      <c r="E22" s="443"/>
      <c r="F22" s="6"/>
      <c r="G22" s="6"/>
      <c r="H22" s="6"/>
      <c r="I22" s="6"/>
      <c r="J22" s="6"/>
      <c r="K22" s="6"/>
      <c r="L22" s="6"/>
      <c r="M22" s="6"/>
    </row>
    <row r="23" spans="1:41">
      <c r="A23" s="6"/>
      <c r="B23" s="6"/>
      <c r="C23" s="256" t="s">
        <v>60</v>
      </c>
      <c r="D23" s="378" t="s">
        <v>61</v>
      </c>
      <c r="E23" s="377"/>
      <c r="F23" s="6"/>
      <c r="G23" s="6"/>
      <c r="H23" s="6"/>
      <c r="I23" s="6"/>
      <c r="J23" s="6"/>
      <c r="K23" s="6"/>
      <c r="L23" s="6"/>
      <c r="M23" s="6"/>
    </row>
    <row r="24" spans="1:41">
      <c r="A24" s="6"/>
      <c r="B24" s="6"/>
      <c r="C24" s="256" t="s">
        <v>49</v>
      </c>
      <c r="D24" s="378" t="s">
        <v>62</v>
      </c>
      <c r="E24" s="377"/>
      <c r="F24" s="6"/>
      <c r="G24" s="6"/>
      <c r="H24" s="6"/>
      <c r="I24" s="6"/>
      <c r="J24" s="6"/>
      <c r="K24" s="6"/>
      <c r="L24" s="6"/>
      <c r="M24" s="6"/>
    </row>
    <row r="25" spans="1:41">
      <c r="A25" s="6"/>
      <c r="B25" s="6"/>
      <c r="C25" s="256" t="s">
        <v>65</v>
      </c>
      <c r="D25" s="439" t="s">
        <v>66</v>
      </c>
      <c r="E25" s="440"/>
      <c r="F25" s="6"/>
      <c r="G25" s="6"/>
      <c r="H25" s="6"/>
      <c r="I25" s="6"/>
      <c r="J25" s="6"/>
      <c r="K25" s="6"/>
      <c r="L25" s="6"/>
      <c r="M25" s="6"/>
    </row>
    <row r="26" spans="1:41">
      <c r="A26" s="6"/>
      <c r="B26" s="6"/>
      <c r="C26" s="256" t="s">
        <v>63</v>
      </c>
      <c r="D26" s="378" t="s">
        <v>64</v>
      </c>
      <c r="E26" s="377"/>
      <c r="F26" s="6"/>
      <c r="G26" s="6"/>
      <c r="H26" s="6"/>
      <c r="I26" s="6"/>
      <c r="J26" s="6"/>
      <c r="K26" s="6"/>
      <c r="L26" s="6"/>
      <c r="M26" s="6"/>
    </row>
    <row r="27" spans="1:41">
      <c r="A27" s="6"/>
      <c r="B27" s="6"/>
      <c r="C27" s="6"/>
      <c r="D27" s="7" t="s">
        <v>71</v>
      </c>
      <c r="E27" s="7">
        <v>1999</v>
      </c>
      <c r="F27" s="6"/>
      <c r="G27" s="6"/>
      <c r="H27" s="6"/>
      <c r="I27" s="6"/>
      <c r="J27" s="6"/>
      <c r="K27" s="27"/>
      <c r="L27" s="27"/>
      <c r="M27" s="27"/>
    </row>
    <row r="28" spans="1:41" s="65" customForma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65" customFormat="1">
      <c r="A29" s="5"/>
      <c r="B29" s="5"/>
      <c r="C29" s="5"/>
      <c r="D29" s="5"/>
      <c r="E29" s="5"/>
      <c r="F29" s="5"/>
      <c r="G29" s="5"/>
      <c r="H29" s="5"/>
      <c r="I29" s="6"/>
      <c r="J29" s="5"/>
      <c r="K29" s="5"/>
      <c r="L29" s="5"/>
      <c r="M29" s="5"/>
      <c r="N29" s="5"/>
      <c r="O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65" customFormat="1">
      <c r="A30" s="5"/>
      <c r="B30" s="5"/>
      <c r="C30" s="256" t="s">
        <v>38</v>
      </c>
      <c r="D30" s="444" t="s">
        <v>56</v>
      </c>
      <c r="E30" s="443"/>
      <c r="F30" s="5"/>
      <c r="G30" s="5"/>
      <c r="H30" s="5"/>
      <c r="I30" s="6"/>
      <c r="J30" s="5"/>
      <c r="K30" s="5"/>
      <c r="L30" s="5"/>
      <c r="M30" s="5"/>
      <c r="N30" s="5"/>
      <c r="O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65" customFormat="1">
      <c r="A31" s="5"/>
      <c r="B31" s="5"/>
      <c r="C31" s="256" t="s">
        <v>41</v>
      </c>
      <c r="D31" s="444" t="s">
        <v>57</v>
      </c>
      <c r="E31" s="443"/>
      <c r="F31" s="5"/>
      <c r="G31" s="5"/>
      <c r="H31" s="5"/>
      <c r="I31" s="6"/>
      <c r="J31" s="5"/>
      <c r="K31" s="5"/>
      <c r="L31" s="5"/>
      <c r="M31" s="5"/>
      <c r="N31" s="5"/>
      <c r="O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>
      <c r="C32" s="67" t="s">
        <v>43</v>
      </c>
      <c r="D32" s="443" t="s">
        <v>58</v>
      </c>
      <c r="E32" s="443"/>
    </row>
    <row r="33" spans="1:41" s="65" customFormat="1">
      <c r="A33" s="5"/>
      <c r="B33" s="5"/>
      <c r="C33" s="256" t="s">
        <v>45</v>
      </c>
      <c r="D33" s="442" t="s">
        <v>59</v>
      </c>
      <c r="E33" s="443"/>
      <c r="F33" s="5"/>
      <c r="G33" s="5"/>
      <c r="H33" s="5"/>
      <c r="I33" s="29"/>
      <c r="J33" s="5"/>
      <c r="K33" s="5"/>
      <c r="L33" s="5"/>
      <c r="M33" s="5"/>
      <c r="N33" s="5"/>
      <c r="O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>
      <c r="C34" s="256" t="s">
        <v>60</v>
      </c>
      <c r="D34" s="378" t="s">
        <v>61</v>
      </c>
      <c r="E34" s="377"/>
    </row>
    <row r="35" spans="1:41">
      <c r="C35" s="256" t="s">
        <v>49</v>
      </c>
      <c r="D35" s="378" t="s">
        <v>62</v>
      </c>
      <c r="E35" s="377"/>
    </row>
    <row r="36" spans="1:41">
      <c r="C36" s="256" t="s">
        <v>65</v>
      </c>
      <c r="D36" s="439" t="s">
        <v>66</v>
      </c>
      <c r="E36" s="440"/>
    </row>
    <row r="37" spans="1:41">
      <c r="C37" s="256" t="s">
        <v>63</v>
      </c>
      <c r="D37" s="378" t="s">
        <v>64</v>
      </c>
      <c r="E37" s="377"/>
    </row>
    <row r="38" spans="1:41">
      <c r="C38" s="256" t="s">
        <v>67</v>
      </c>
      <c r="D38" s="435" t="s">
        <v>68</v>
      </c>
      <c r="E38" s="441"/>
    </row>
    <row r="39" spans="1:41">
      <c r="C39" s="256" t="s">
        <v>67</v>
      </c>
      <c r="D39" s="435" t="s">
        <v>69</v>
      </c>
      <c r="E39" s="441"/>
    </row>
    <row r="40" spans="1:41">
      <c r="C40" s="256" t="s">
        <v>67</v>
      </c>
      <c r="D40" s="434" t="s">
        <v>72</v>
      </c>
      <c r="E40" s="433"/>
    </row>
    <row r="41" spans="1:41">
      <c r="C41" s="6"/>
      <c r="D41" s="7" t="s">
        <v>71</v>
      </c>
      <c r="E41" s="7">
        <v>2899</v>
      </c>
    </row>
    <row r="43" spans="1:41" s="65" customForma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56" spans="7:7" ht="15.75" thickBot="1"/>
    <row r="57" spans="7:7" ht="15.75" thickBot="1">
      <c r="G57" s="31"/>
    </row>
    <row r="76" spans="10:13">
      <c r="M76"/>
    </row>
    <row r="77" spans="10:13">
      <c r="J77"/>
      <c r="M77"/>
    </row>
    <row r="89" spans="10:10">
      <c r="J89"/>
    </row>
    <row r="90" spans="10:10">
      <c r="J90"/>
    </row>
    <row r="96" spans="10:10">
      <c r="J96"/>
    </row>
    <row r="97" spans="10:10">
      <c r="J97"/>
    </row>
    <row r="100" spans="10:10">
      <c r="J100"/>
    </row>
    <row r="103" spans="10:10">
      <c r="J103"/>
    </row>
    <row r="123" spans="7:13">
      <c r="K123" s="5">
        <v>35.19</v>
      </c>
      <c r="M123" s="5">
        <v>24.6</v>
      </c>
    </row>
    <row r="124" spans="7:13">
      <c r="K124" s="5">
        <v>52.92</v>
      </c>
      <c r="M124" s="5">
        <v>3176.17</v>
      </c>
    </row>
    <row r="125" spans="7:13">
      <c r="K125" s="5">
        <f>SUM(K123:K124)</f>
        <v>88.11</v>
      </c>
      <c r="M125" s="5">
        <v>850.22</v>
      </c>
    </row>
    <row r="126" spans="7:13">
      <c r="M126" s="5">
        <f>SUM(M123:M125)</f>
        <v>4050.99</v>
      </c>
    </row>
    <row r="127" spans="7:13">
      <c r="J127" s="5">
        <v>789</v>
      </c>
    </row>
    <row r="128" spans="7:13">
      <c r="G128" s="5">
        <v>4619</v>
      </c>
    </row>
    <row r="129" spans="7:13">
      <c r="G129" s="5">
        <v>100</v>
      </c>
      <c r="M129" s="5">
        <f>M126-2100</f>
        <v>1950.9899999999998</v>
      </c>
    </row>
    <row r="130" spans="7:13">
      <c r="G130" s="5">
        <v>5000</v>
      </c>
    </row>
    <row r="131" spans="7:13">
      <c r="G131" s="5">
        <f>SUM(G128:G130)</f>
        <v>9719</v>
      </c>
    </row>
    <row r="133" spans="7:13">
      <c r="M133" s="5">
        <f>M129/3.26</f>
        <v>598.46319018404904</v>
      </c>
    </row>
    <row r="136" spans="7:13">
      <c r="K136" s="5">
        <f>M133+K125</f>
        <v>686.57319018404905</v>
      </c>
    </row>
  </sheetData>
  <mergeCells count="29">
    <mergeCell ref="A1:B1"/>
    <mergeCell ref="E1:F1"/>
    <mergeCell ref="G1:H1"/>
    <mergeCell ref="J1:K1"/>
    <mergeCell ref="M1:N1"/>
    <mergeCell ref="D14:E14"/>
    <mergeCell ref="D15:E15"/>
    <mergeCell ref="D16:E16"/>
    <mergeCell ref="Q2:V2"/>
    <mergeCell ref="A3:I3"/>
    <mergeCell ref="D4:E4"/>
    <mergeCell ref="D5:E5"/>
    <mergeCell ref="D6:E6"/>
    <mergeCell ref="D7:E7"/>
    <mergeCell ref="A2:B2"/>
    <mergeCell ref="D2:E2"/>
    <mergeCell ref="D19:E19"/>
    <mergeCell ref="D20:E20"/>
    <mergeCell ref="D21:E21"/>
    <mergeCell ref="D22:E22"/>
    <mergeCell ref="D30:E30"/>
    <mergeCell ref="D38:E38"/>
    <mergeCell ref="D39:E39"/>
    <mergeCell ref="D40:E40"/>
    <mergeCell ref="D25:E25"/>
    <mergeCell ref="D36:E36"/>
    <mergeCell ref="D33:E33"/>
    <mergeCell ref="D31:E31"/>
    <mergeCell ref="D32:E32"/>
  </mergeCells>
  <hyperlinks>
    <hyperlink ref="AL4" r:id="rId1" xr:uid="{00000000-0004-0000-02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D01F-92DE-49DD-A69D-9742D543B630}">
  <dimension ref="A1:AO1048571"/>
  <sheetViews>
    <sheetView zoomScale="90" zoomScaleNormal="90" workbookViewId="0">
      <pane ySplit="2" topLeftCell="A3" activePane="bottomLeft" state="frozen"/>
      <selection pane="bottomLeft" activeCell="Q13" sqref="Q13"/>
    </sheetView>
  </sheetViews>
  <sheetFormatPr defaultColWidth="11.42578125" defaultRowHeight="15"/>
  <cols>
    <col min="1" max="1" width="2.7109375" style="5" customWidth="1"/>
    <col min="2" max="2" width="2.85546875" style="5" customWidth="1"/>
    <col min="3" max="3" width="12.42578125" style="5" customWidth="1"/>
    <col min="4" max="4" width="20.42578125" style="5" customWidth="1"/>
    <col min="5" max="5" width="9.140625" style="5" customWidth="1"/>
    <col min="6" max="6" width="6.140625" style="5" customWidth="1"/>
    <col min="7" max="7" width="8.7109375" style="5" customWidth="1"/>
    <col min="8" max="8" width="6.28515625" style="5" customWidth="1"/>
    <col min="9" max="9" width="15.28515625" style="5" customWidth="1"/>
    <col min="10" max="10" width="6.5703125" style="5" customWidth="1"/>
    <col min="11" max="11" width="13.7109375" style="5" customWidth="1"/>
    <col min="12" max="12" width="13" style="5" customWidth="1"/>
    <col min="13" max="13" width="14.140625" style="5" customWidth="1"/>
    <col min="14" max="14" width="9.85546875" style="5" bestFit="1" customWidth="1"/>
    <col min="15" max="15" width="8.28515625" style="5" customWidth="1"/>
    <col min="16" max="16" width="1.140625" style="65" customWidth="1"/>
    <col min="17" max="17" width="18.7109375" style="5" customWidth="1"/>
    <col min="18" max="18" width="11.28515625" style="5" customWidth="1"/>
    <col min="19" max="19" width="8" style="5" bestFit="1" customWidth="1"/>
    <col min="20" max="20" width="9.28515625" style="5" customWidth="1"/>
    <col min="21" max="21" width="7.140625" style="5" bestFit="1" customWidth="1"/>
    <col min="22" max="22" width="8" style="5" bestFit="1" customWidth="1"/>
    <col min="23" max="23" width="9.85546875" style="5" customWidth="1"/>
    <col min="24" max="24" width="10" style="5" customWidth="1"/>
    <col min="25" max="25" width="8.5703125" style="5" bestFit="1" customWidth="1"/>
    <col min="26" max="26" width="9.5703125" style="5" bestFit="1" customWidth="1"/>
    <col min="27" max="28" width="7.5703125" style="5" customWidth="1"/>
    <col min="29" max="29" width="8.5703125" style="5" bestFit="1" customWidth="1"/>
    <col min="30" max="30" width="8.7109375" style="5" bestFit="1" customWidth="1"/>
    <col min="31" max="31" width="7.5703125" style="5" customWidth="1"/>
    <col min="32" max="32" width="8" style="5" bestFit="1" customWidth="1"/>
    <col min="33" max="33" width="7.42578125" style="5" customWidth="1"/>
    <col min="34" max="34" width="9.140625" style="5" bestFit="1" customWidth="1"/>
    <col min="35" max="35" width="9.140625" style="5" customWidth="1"/>
    <col min="36" max="16384" width="11.42578125" style="5"/>
  </cols>
  <sheetData>
    <row r="1" spans="1:41" ht="21.75" thickTop="1" thickBot="1">
      <c r="A1" s="381" t="s">
        <v>0</v>
      </c>
      <c r="B1" s="381"/>
      <c r="C1" s="258">
        <v>0.1</v>
      </c>
      <c r="D1" s="374" t="s">
        <v>1</v>
      </c>
      <c r="E1" s="382">
        <v>199</v>
      </c>
      <c r="F1" s="382"/>
      <c r="G1" s="445" t="s">
        <v>2</v>
      </c>
      <c r="H1" s="384"/>
      <c r="I1" s="385">
        <f>E1/1.18</f>
        <v>168.64406779661019</v>
      </c>
      <c r="J1" s="386"/>
      <c r="L1" s="100"/>
      <c r="M1" s="101"/>
      <c r="N1" s="99" t="s">
        <v>3</v>
      </c>
      <c r="O1" s="223">
        <v>3.5</v>
      </c>
    </row>
    <row r="2" spans="1:41" ht="18" customHeight="1" thickTop="1" thickBot="1">
      <c r="A2" s="387" t="s">
        <v>4</v>
      </c>
      <c r="B2" s="388"/>
      <c r="C2" s="260" t="s">
        <v>5</v>
      </c>
      <c r="D2" s="389" t="s">
        <v>6</v>
      </c>
      <c r="E2" s="390"/>
      <c r="F2" s="261" t="s">
        <v>7</v>
      </c>
      <c r="G2" s="69" t="s">
        <v>8</v>
      </c>
      <c r="H2" s="45" t="s">
        <v>9</v>
      </c>
      <c r="I2" s="3" t="s">
        <v>10</v>
      </c>
      <c r="J2" s="222"/>
      <c r="K2" s="222"/>
      <c r="L2" s="8"/>
      <c r="M2" s="8"/>
      <c r="O2">
        <v>3.89</v>
      </c>
      <c r="Q2" s="396" t="s">
        <v>11</v>
      </c>
      <c r="R2" s="396"/>
      <c r="S2" s="396"/>
      <c r="T2" s="396"/>
      <c r="U2" s="396"/>
      <c r="V2" s="396"/>
      <c r="W2" s="373"/>
      <c r="X2" s="373"/>
    </row>
    <row r="3" spans="1:41" ht="31.5" customHeight="1" thickBot="1">
      <c r="A3" s="397" t="s">
        <v>73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397"/>
      <c r="W3" s="397"/>
      <c r="X3" s="397"/>
      <c r="Y3" s="397"/>
      <c r="Z3" s="397"/>
      <c r="AA3" s="397"/>
      <c r="AB3" s="397"/>
      <c r="AC3" s="108"/>
      <c r="AD3" s="108"/>
      <c r="AE3" s="108"/>
      <c r="AF3" s="108"/>
      <c r="AG3" s="108"/>
      <c r="AH3" s="108"/>
      <c r="AI3" s="108"/>
      <c r="AJ3" s="109"/>
    </row>
    <row r="4" spans="1:41" ht="15.75" customHeight="1" thickBot="1">
      <c r="A4" s="111" t="s">
        <v>74</v>
      </c>
      <c r="B4" s="111"/>
      <c r="C4" s="111"/>
      <c r="D4" s="111"/>
      <c r="E4" s="111"/>
      <c r="F4" s="114" t="s">
        <v>75</v>
      </c>
      <c r="G4" s="114" t="s">
        <v>76</v>
      </c>
      <c r="H4" s="111"/>
      <c r="I4" s="113" t="s">
        <v>77</v>
      </c>
      <c r="J4" s="72" t="s">
        <v>13</v>
      </c>
      <c r="K4" s="134" t="s">
        <v>14</v>
      </c>
      <c r="L4" s="131" t="s">
        <v>15</v>
      </c>
      <c r="M4" s="4" t="s">
        <v>78</v>
      </c>
      <c r="N4" s="129" t="s">
        <v>79</v>
      </c>
      <c r="O4" s="61" t="s">
        <v>17</v>
      </c>
      <c r="P4" s="66"/>
      <c r="Q4" s="1"/>
      <c r="R4" s="398" t="s">
        <v>80</v>
      </c>
      <c r="S4" s="399"/>
      <c r="T4" s="399"/>
      <c r="U4" s="399"/>
      <c r="V4" s="399"/>
      <c r="W4" s="399"/>
      <c r="X4" s="399"/>
      <c r="Y4" s="399"/>
      <c r="Z4" s="399"/>
      <c r="AA4" s="399"/>
      <c r="AB4" s="399"/>
      <c r="AH4" s="1"/>
      <c r="AI4" s="1"/>
      <c r="AJ4" s="67"/>
      <c r="AK4" s="67"/>
      <c r="AL4" s="67"/>
    </row>
    <row r="5" spans="1:41" s="10" customFormat="1" ht="30.6" customHeight="1" thickBot="1">
      <c r="A5" s="1">
        <v>3</v>
      </c>
      <c r="B5" s="110"/>
      <c r="C5" s="136"/>
      <c r="D5" s="391"/>
      <c r="E5" s="392"/>
      <c r="F5" s="115">
        <v>1</v>
      </c>
      <c r="G5" s="116">
        <f>IF(SUM(Q5:AI5)&lt;=0,"0",(SMALL(Q5:AI5, COUNTIF(Q5:AI5, "&lt;=0") + 1)))</f>
        <v>1000</v>
      </c>
      <c r="H5" s="117"/>
      <c r="I5" s="287">
        <f>((Q5-H5)*1.18)*F5</f>
        <v>1180</v>
      </c>
      <c r="J5" s="118"/>
      <c r="K5" s="135">
        <f>L5-I5</f>
        <v>118</v>
      </c>
      <c r="L5" s="132">
        <f>IF(AND(I5&gt;0,I5&lt;200),(I5*1.2), IF(AND(I5&gt;=201,I5&lt;=400),(I5*1.13), IF(AND(I5&gt;=401,I5&lt;=1200),(I5*1.1), IF(AND(I5&gt;=1201,I5&lt;=2400),(I5*1.08), IF(AND(I5&gt;=2401,I5&lt;=4000),(I5*1.073), IF(AND(I5&gt;=4001,I5&lt;=6000),(I5*1.067), IF(AND(I5&gt;=6001,I5&lt;=8000),(I5*1.063), IF(AND(I5&gt;=8001,I5&lt;=10000),(I5*1.058), IF((I5&gt;=10001),(I5*1.05), 0)))))))))</f>
        <v>1298</v>
      </c>
      <c r="M5" s="119">
        <f>(L5*1.01)</f>
        <v>1310.98</v>
      </c>
      <c r="N5" s="285">
        <f>(L5+M5)/2</f>
        <v>1304.49</v>
      </c>
      <c r="O5" s="120"/>
      <c r="P5" s="121"/>
      <c r="Q5" s="286">
        <v>1000</v>
      </c>
      <c r="R5" s="393" t="s">
        <v>81</v>
      </c>
      <c r="S5" s="394"/>
      <c r="T5" s="394"/>
      <c r="U5" s="394"/>
      <c r="V5" s="394"/>
      <c r="W5" s="394"/>
      <c r="X5" s="394"/>
      <c r="Y5" s="394"/>
      <c r="Z5" s="394"/>
      <c r="AA5" s="394"/>
      <c r="AB5" s="395"/>
      <c r="AC5" s="97"/>
      <c r="AD5" s="97"/>
      <c r="AE5" s="98"/>
      <c r="AF5" s="98"/>
      <c r="AG5" s="98"/>
      <c r="AH5" s="98"/>
      <c r="AI5" s="98"/>
      <c r="AJ5" s="67"/>
      <c r="AK5" s="67"/>
      <c r="AL5" s="67"/>
      <c r="AM5" s="5"/>
      <c r="AN5" s="5"/>
      <c r="AO5" s="5"/>
    </row>
    <row r="6" spans="1:41" ht="27" customHeight="1">
      <c r="A6" s="400"/>
      <c r="B6" s="401"/>
      <c r="C6" s="401"/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2"/>
      <c r="P6" s="66"/>
      <c r="R6" s="80"/>
      <c r="S6" s="79"/>
      <c r="T6" s="80"/>
      <c r="U6" s="79"/>
      <c r="V6" s="80"/>
      <c r="W6" s="79"/>
      <c r="X6" s="80"/>
      <c r="Y6" s="79"/>
      <c r="Z6" s="80"/>
      <c r="AA6" s="79"/>
      <c r="AB6" s="80"/>
      <c r="AC6" s="79"/>
      <c r="AD6" s="80"/>
      <c r="AE6" s="79"/>
      <c r="AF6" s="80"/>
      <c r="AG6" s="79"/>
      <c r="AH6" s="80"/>
      <c r="AI6" s="79"/>
      <c r="AJ6" s="80"/>
      <c r="AK6" s="67"/>
      <c r="AL6" s="67"/>
    </row>
    <row r="7" spans="1:41" ht="1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O7" s="86"/>
      <c r="P7" s="66"/>
      <c r="Q7" s="79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</row>
    <row r="8" spans="1:41" ht="18" customHeight="1">
      <c r="A8" s="397" t="s">
        <v>82</v>
      </c>
      <c r="B8" s="397"/>
      <c r="C8" s="397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  <c r="X8" s="397"/>
      <c r="Y8" s="397"/>
      <c r="Z8" s="397"/>
      <c r="AA8" s="397"/>
      <c r="AB8" s="397"/>
      <c r="AC8" s="108"/>
      <c r="AD8" s="108"/>
      <c r="AE8" s="108"/>
      <c r="AF8" s="108"/>
      <c r="AG8" s="108"/>
      <c r="AH8" s="108"/>
      <c r="AI8" s="108"/>
      <c r="AJ8" s="109"/>
      <c r="AK8" s="67"/>
      <c r="AL8" s="67"/>
    </row>
    <row r="9" spans="1:41" ht="13.5" customHeight="1">
      <c r="A9" s="112" t="s">
        <v>74</v>
      </c>
      <c r="B9" s="112"/>
      <c r="C9" s="112"/>
      <c r="D9" s="112"/>
      <c r="E9" s="112"/>
      <c r="F9" s="114" t="s">
        <v>75</v>
      </c>
      <c r="G9" s="114" t="s">
        <v>76</v>
      </c>
      <c r="H9" s="112"/>
      <c r="I9" s="113" t="s">
        <v>77</v>
      </c>
      <c r="J9" s="106" t="s">
        <v>13</v>
      </c>
      <c r="K9" s="136" t="s">
        <v>14</v>
      </c>
      <c r="L9" s="133" t="s">
        <v>15</v>
      </c>
      <c r="M9" s="107" t="s">
        <v>78</v>
      </c>
      <c r="N9" s="129" t="s">
        <v>79</v>
      </c>
      <c r="O9" s="107" t="s">
        <v>17</v>
      </c>
      <c r="P9" s="10"/>
      <c r="Q9" s="1" t="s">
        <v>34</v>
      </c>
      <c r="R9" s="1" t="s">
        <v>33</v>
      </c>
      <c r="S9" s="1" t="s">
        <v>28</v>
      </c>
      <c r="T9" s="1" t="s">
        <v>26</v>
      </c>
      <c r="U9" s="1" t="s">
        <v>31</v>
      </c>
      <c r="V9" s="1" t="s">
        <v>30</v>
      </c>
      <c r="W9" s="1" t="s">
        <v>29</v>
      </c>
      <c r="X9" s="1" t="s">
        <v>32</v>
      </c>
      <c r="Y9" s="1" t="s">
        <v>35</v>
      </c>
      <c r="Z9" s="1" t="s">
        <v>36</v>
      </c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</row>
    <row r="10" spans="1:41" ht="28.5" customHeight="1">
      <c r="A10" s="105"/>
      <c r="B10" s="105"/>
      <c r="C10" s="105"/>
      <c r="D10" s="105"/>
      <c r="E10" s="105"/>
      <c r="F10" s="122">
        <v>1</v>
      </c>
      <c r="G10" s="116">
        <f>IF(SUM(Q10:AI10)&lt;=0,"0",(SMALL(Q10:AI10, COUNTIF(Q10:AI10, "&lt;=0") + 1)))</f>
        <v>73.66</v>
      </c>
      <c r="H10" s="122"/>
      <c r="I10" s="126">
        <f>((G10-H10))*F10</f>
        <v>73.66</v>
      </c>
      <c r="J10" s="123"/>
      <c r="K10" s="137">
        <f>L10-I10</f>
        <v>14.731999999999999</v>
      </c>
      <c r="L10" s="128">
        <f>IF(AND(G10&gt;0,G10&lt;200),(I10*1.2),IF(AND(G10&gt;=201,G10&lt;=400),(I10*1.13),IF(AND(G10&gt;=401,G10&lt;=800),(I10*1.13),IF(AND(G10&gt;=801,G10&lt;=1200),(I10*1.12),IF(AND(G10&gt;=1201,G10&lt;=2400),(I10*1.08),IF(AND(G10&gt;=2401,G10&lt;=4000),(I10*1.073),IF(AND(G10&gt;=4001,G10&lt;=6000),(I10*1.067),IF(AND(G10&gt;=6001,G10&lt;=8000),(I10*1.063),IF(AND(G10&gt;=8001,G10&lt;=10000),(I10*1.058),IF((G10&gt;=10001),(I10*1.05),0))))))))))</f>
        <v>88.391999999999996</v>
      </c>
      <c r="M10" s="124">
        <f>(L10*1.01)</f>
        <v>89.275919999999999</v>
      </c>
      <c r="N10" s="285">
        <f>(L10+M10)/2</f>
        <v>88.83395999999999</v>
      </c>
      <c r="O10" s="125"/>
      <c r="P10" s="127"/>
      <c r="Q10" s="128">
        <v>73.66</v>
      </c>
      <c r="R10" s="393" t="s">
        <v>81</v>
      </c>
      <c r="S10" s="394"/>
      <c r="T10" s="394"/>
      <c r="U10" s="394"/>
      <c r="V10" s="394"/>
      <c r="W10" s="394"/>
      <c r="X10" s="394"/>
      <c r="Y10" s="394"/>
      <c r="Z10" s="394"/>
      <c r="AA10" s="394"/>
      <c r="AB10" s="395"/>
      <c r="AC10" s="67"/>
      <c r="AD10" s="67"/>
      <c r="AE10" s="67"/>
      <c r="AF10" s="67"/>
      <c r="AG10" s="67"/>
      <c r="AH10" s="67"/>
      <c r="AI10" s="67"/>
      <c r="AJ10" s="67"/>
      <c r="AK10" s="67"/>
      <c r="AL10" s="67"/>
    </row>
    <row r="11" spans="1:41" ht="30.75" hidden="1" customHeight="1">
      <c r="A11" s="403"/>
      <c r="B11" s="404"/>
      <c r="C11" s="405"/>
      <c r="D11" s="405"/>
      <c r="E11" s="405"/>
      <c r="F11" s="405"/>
      <c r="G11" s="405"/>
      <c r="H11" s="405"/>
      <c r="I11" s="406"/>
      <c r="J11" s="403"/>
      <c r="K11" s="404"/>
      <c r="L11" s="405"/>
      <c r="M11" s="405"/>
      <c r="N11" s="405"/>
      <c r="O11" s="405"/>
      <c r="P11" s="405"/>
      <c r="Q11" s="405"/>
      <c r="R11" s="406"/>
      <c r="S11" s="403"/>
      <c r="T11" s="404"/>
      <c r="U11" s="405"/>
      <c r="V11" s="405"/>
      <c r="W11" s="405"/>
      <c r="X11" s="405"/>
      <c r="Y11" s="405"/>
      <c r="Z11" s="405"/>
      <c r="AA11" s="406"/>
      <c r="AB11" s="403"/>
      <c r="AC11" s="404"/>
      <c r="AD11" s="405"/>
      <c r="AE11" s="405"/>
      <c r="AF11" s="405"/>
      <c r="AG11" s="405"/>
      <c r="AH11" s="405"/>
      <c r="AI11" s="405"/>
      <c r="AJ11" s="406"/>
      <c r="AK11" s="67"/>
      <c r="AL11" s="67"/>
    </row>
    <row r="12" spans="1:41" ht="40.5" hidden="1" customHeight="1" thickBot="1">
      <c r="A12" s="400"/>
      <c r="B12" s="401"/>
      <c r="C12" s="401"/>
      <c r="D12" s="401"/>
      <c r="E12" s="401"/>
      <c r="F12" s="401"/>
      <c r="G12" s="401"/>
      <c r="H12" s="401"/>
      <c r="I12" s="401"/>
      <c r="J12" s="401"/>
      <c r="K12" s="401"/>
      <c r="L12" s="401"/>
      <c r="M12" s="401"/>
      <c r="N12" s="401"/>
      <c r="O12" s="402"/>
      <c r="P12" s="66"/>
      <c r="Q12" s="79"/>
      <c r="R12" s="80"/>
      <c r="S12" s="79"/>
      <c r="T12" s="80"/>
      <c r="U12" s="79"/>
      <c r="V12" s="80"/>
      <c r="W12" s="79"/>
      <c r="X12" s="80"/>
      <c r="Y12" s="79"/>
      <c r="Z12" s="80"/>
      <c r="AA12" s="79"/>
      <c r="AB12" s="80"/>
      <c r="AC12" s="79"/>
      <c r="AD12" s="80"/>
      <c r="AE12" s="79"/>
      <c r="AF12" s="80"/>
      <c r="AG12" s="79"/>
      <c r="AH12" s="80"/>
      <c r="AI12" s="79"/>
      <c r="AJ12" s="80"/>
      <c r="AK12" s="67"/>
      <c r="AL12" s="67"/>
    </row>
    <row r="13" spans="1:41" ht="23.25" customHeight="1" thickBot="1">
      <c r="A13" s="6"/>
      <c r="B13" s="6"/>
      <c r="C13" s="6"/>
      <c r="D13" s="6"/>
      <c r="E13" s="6"/>
      <c r="F13" s="114" t="s">
        <v>75</v>
      </c>
      <c r="G13" s="114" t="s">
        <v>76</v>
      </c>
      <c r="H13" s="297"/>
      <c r="I13" s="298" t="s">
        <v>77</v>
      </c>
      <c r="J13" s="299" t="s">
        <v>13</v>
      </c>
      <c r="K13" s="300" t="s">
        <v>14</v>
      </c>
      <c r="L13" s="301" t="s">
        <v>15</v>
      </c>
      <c r="M13" s="302" t="s">
        <v>78</v>
      </c>
      <c r="N13" s="303" t="s">
        <v>79</v>
      </c>
      <c r="O13" s="302" t="s">
        <v>17</v>
      </c>
    </row>
    <row r="14" spans="1:41" ht="19.5" thickBot="1">
      <c r="A14" s="420" t="s">
        <v>83</v>
      </c>
      <c r="B14" s="421"/>
      <c r="C14" s="422"/>
      <c r="D14" s="333" t="s">
        <v>84</v>
      </c>
      <c r="E14" s="334"/>
      <c r="F14" s="335">
        <v>1</v>
      </c>
      <c r="G14" s="336">
        <f>IF(SUM(Q14:AI14)&lt;=0,"0",(SMALL(Q14:AI14, COUNTIF(Q14:AI14, "&lt;=0") + 1)))</f>
        <v>1229</v>
      </c>
      <c r="H14" s="337">
        <f>G14*1.08</f>
        <v>1327.3200000000002</v>
      </c>
      <c r="I14" s="338">
        <f>(H14*0.08)+G14</f>
        <v>1335.1856</v>
      </c>
      <c r="J14" s="339"/>
      <c r="K14" s="340"/>
      <c r="L14" s="341">
        <f t="shared" ref="L14:L21" si="0">(I14-G14)+G14</f>
        <v>1335.1856</v>
      </c>
      <c r="M14" s="342">
        <f t="shared" ref="M14:M21" si="1">(L14*1.01)</f>
        <v>1348.537456</v>
      </c>
      <c r="N14" s="343">
        <f t="shared" ref="N14:N19" si="2">((L14+M14)/2)+J14</f>
        <v>1341.8615279999999</v>
      </c>
      <c r="O14" s="344"/>
      <c r="P14" s="345"/>
      <c r="Q14" s="417">
        <v>1229</v>
      </c>
    </row>
    <row r="15" spans="1:41" ht="18.75">
      <c r="A15" s="423"/>
      <c r="B15" s="424"/>
      <c r="C15" s="425"/>
      <c r="D15" s="333" t="s">
        <v>85</v>
      </c>
      <c r="E15" s="334"/>
      <c r="F15" s="335">
        <v>1</v>
      </c>
      <c r="G15" s="336">
        <f>IF(SUM(Q14:AI14)&lt;=0,"0",(SMALL(Q14:AI14, COUNTIF(Q14:AI14, "&lt;=0") + 1)))</f>
        <v>1229</v>
      </c>
      <c r="H15" s="337">
        <f>G15*1.11</f>
        <v>1364.19</v>
      </c>
      <c r="I15" s="338">
        <f>(H15*0.11)+G15</f>
        <v>1379.0608999999999</v>
      </c>
      <c r="J15" s="339"/>
      <c r="K15" s="340"/>
      <c r="L15" s="341">
        <f t="shared" ref="L15" si="3">(I15-G15)+G15</f>
        <v>1379.0608999999999</v>
      </c>
      <c r="M15" s="342">
        <f t="shared" ref="M15" si="4">(L15*1.01)</f>
        <v>1392.8515089999999</v>
      </c>
      <c r="N15" s="343">
        <f t="shared" si="2"/>
        <v>1385.9562044999998</v>
      </c>
      <c r="O15" s="372"/>
      <c r="P15" s="66"/>
      <c r="Q15" s="418"/>
    </row>
    <row r="16" spans="1:41" ht="18.75">
      <c r="A16" s="423"/>
      <c r="B16" s="424"/>
      <c r="C16" s="425"/>
      <c r="D16" s="292">
        <v>0.12</v>
      </c>
      <c r="E16" s="139"/>
      <c r="F16" s="9">
        <v>1</v>
      </c>
      <c r="G16" s="56">
        <f>IF(SUM(Q14:AI14)&lt;=0,"0",(SMALL(Q14:AI14, COUNTIF(Q14:AI14, "&lt;=0") + 1)))</f>
        <v>1229</v>
      </c>
      <c r="H16" s="37">
        <f>G16*1.12</f>
        <v>1376.48</v>
      </c>
      <c r="I16" s="47">
        <f>(H16*0.12)+G16</f>
        <v>1394.1776</v>
      </c>
      <c r="J16" s="49"/>
      <c r="K16" s="137"/>
      <c r="L16" s="294">
        <f t="shared" si="0"/>
        <v>1394.1776</v>
      </c>
      <c r="M16" s="296">
        <f t="shared" si="1"/>
        <v>1408.1193760000001</v>
      </c>
      <c r="N16" s="130">
        <f t="shared" si="2"/>
        <v>1401.148488</v>
      </c>
      <c r="O16" s="288"/>
      <c r="P16" s="66"/>
      <c r="Q16" s="418"/>
    </row>
    <row r="17" spans="1:41" ht="18.75">
      <c r="A17" s="423"/>
      <c r="B17" s="424"/>
      <c r="C17" s="425"/>
      <c r="D17" s="289">
        <v>0.13</v>
      </c>
      <c r="E17" s="139"/>
      <c r="F17" s="9">
        <v>1</v>
      </c>
      <c r="G17" s="56">
        <f>IF(SUM(Q14:AI14)&lt;=0,"0",(SMALL(Q14:AI14, COUNTIF(Q14:AI14, "&lt;=0") + 1)))</f>
        <v>1229</v>
      </c>
      <c r="H17" s="37">
        <f>G17*1.13</f>
        <v>1388.77</v>
      </c>
      <c r="I17" s="47">
        <f>(H17*0.13)+G17</f>
        <v>1409.5400999999999</v>
      </c>
      <c r="J17" s="49"/>
      <c r="K17" s="137"/>
      <c r="L17" s="294">
        <f t="shared" si="0"/>
        <v>1409.5400999999999</v>
      </c>
      <c r="M17" s="296">
        <f t="shared" si="1"/>
        <v>1423.635501</v>
      </c>
      <c r="N17" s="290">
        <f t="shared" si="2"/>
        <v>1416.5878005</v>
      </c>
      <c r="O17" s="288"/>
      <c r="P17" s="66"/>
      <c r="Q17" s="418"/>
    </row>
    <row r="18" spans="1:41" ht="18.75">
      <c r="A18" s="423"/>
      <c r="B18" s="424"/>
      <c r="C18" s="425"/>
      <c r="D18" s="292">
        <v>0.14000000000000001</v>
      </c>
      <c r="E18" s="139"/>
      <c r="F18" s="9">
        <v>1</v>
      </c>
      <c r="G18" s="56">
        <f>IF(SUM(Q14:AI14)&lt;=0,"0",(SMALL(Q14:AI14, COUNTIF(Q14:AI14, "&lt;=0") + 1)))</f>
        <v>1229</v>
      </c>
      <c r="H18" s="37">
        <f>G18*1.14</f>
        <v>1401.06</v>
      </c>
      <c r="I18" s="47">
        <f>(H18*0.14)+G18</f>
        <v>1425.1484</v>
      </c>
      <c r="J18" s="49"/>
      <c r="K18" s="137"/>
      <c r="L18" s="294">
        <f t="shared" si="0"/>
        <v>1425.1484</v>
      </c>
      <c r="M18" s="296">
        <f t="shared" si="1"/>
        <v>1439.3998840000002</v>
      </c>
      <c r="N18" s="130">
        <f t="shared" si="2"/>
        <v>1432.2741420000002</v>
      </c>
      <c r="O18" s="288"/>
      <c r="P18" s="66"/>
      <c r="Q18" s="418"/>
    </row>
    <row r="19" spans="1:41" ht="18.75">
      <c r="A19" s="423"/>
      <c r="B19" s="424"/>
      <c r="C19" s="425"/>
      <c r="D19" s="291">
        <v>0.17</v>
      </c>
      <c r="E19" s="139"/>
      <c r="F19" s="9">
        <v>1</v>
      </c>
      <c r="G19" s="56">
        <f>IF(SUM(Q14:AI14)&lt;=0,"0",(SMALL(Q14:AI14, COUNTIF(Q14:AI14, "&lt;=0") + 1)))</f>
        <v>1229</v>
      </c>
      <c r="H19" s="37">
        <f>G19*1.17</f>
        <v>1437.9299999999998</v>
      </c>
      <c r="I19" s="47">
        <f>(H19*0.17)+G19</f>
        <v>1473.4481000000001</v>
      </c>
      <c r="J19" s="49"/>
      <c r="K19" s="137"/>
      <c r="L19" s="294">
        <f t="shared" si="0"/>
        <v>1473.4481000000001</v>
      </c>
      <c r="M19" s="296">
        <f t="shared" si="1"/>
        <v>1488.182581</v>
      </c>
      <c r="N19" s="293">
        <f t="shared" si="2"/>
        <v>1480.8153405</v>
      </c>
      <c r="O19" s="288"/>
      <c r="P19" s="66"/>
      <c r="Q19" s="418"/>
    </row>
    <row r="20" spans="1:41" ht="18.75">
      <c r="A20" s="423"/>
      <c r="B20" s="424"/>
      <c r="C20" s="425"/>
      <c r="D20" s="292">
        <v>0.15</v>
      </c>
      <c r="E20" s="139"/>
      <c r="F20" s="9">
        <v>1</v>
      </c>
      <c r="G20" s="56">
        <f>IF(SUM(Q14:AI14)&lt;=0,"0",(SMALL(Q14:AI14, COUNTIF(Q14:AI14, "&lt;=0") + 1)))</f>
        <v>1229</v>
      </c>
      <c r="H20" s="37">
        <f>G20*1.15</f>
        <v>1413.35</v>
      </c>
      <c r="I20" s="47">
        <f>(H20*0.15)+G20</f>
        <v>1441.0025000000001</v>
      </c>
      <c r="J20" s="49">
        <v>20</v>
      </c>
      <c r="K20" s="137"/>
      <c r="L20" s="294">
        <f t="shared" si="0"/>
        <v>1441.0025000000001</v>
      </c>
      <c r="M20" s="296">
        <f t="shared" si="1"/>
        <v>1455.412525</v>
      </c>
      <c r="N20" s="130">
        <f t="shared" ref="N20:N21" si="5">((L20+M20)/2)+J20</f>
        <v>1468.2075125000001</v>
      </c>
      <c r="O20" s="288"/>
      <c r="P20" s="66"/>
      <c r="Q20" s="418"/>
    </row>
    <row r="21" spans="1:41" ht="19.5" thickBot="1">
      <c r="A21" s="426"/>
      <c r="B21" s="427"/>
      <c r="C21" s="428"/>
      <c r="D21" s="346">
        <v>0.22</v>
      </c>
      <c r="E21" s="347"/>
      <c r="F21" s="348">
        <v>1</v>
      </c>
      <c r="G21" s="349">
        <f>IF(SUM(Q14:AI14)&lt;=0,"0",(SMALL(Q14:AI14, COUNTIF(Q14:AI14, "&lt;=0") + 1)))</f>
        <v>1229</v>
      </c>
      <c r="H21" s="350">
        <f>G21*1.22</f>
        <v>1499.3799999999999</v>
      </c>
      <c r="I21" s="351">
        <f>(H21*0.22)+G21</f>
        <v>1558.8635999999999</v>
      </c>
      <c r="J21" s="352"/>
      <c r="K21" s="353"/>
      <c r="L21" s="354">
        <f t="shared" si="0"/>
        <v>1558.8635999999999</v>
      </c>
      <c r="M21" s="355">
        <f t="shared" si="1"/>
        <v>1574.4522359999999</v>
      </c>
      <c r="N21" s="356">
        <f t="shared" si="5"/>
        <v>1566.6579179999999</v>
      </c>
      <c r="O21" s="357"/>
      <c r="P21" s="358"/>
      <c r="Q21" s="419"/>
      <c r="S21" s="103"/>
    </row>
    <row r="22" spans="1:41" ht="46.5" customHeight="1">
      <c r="A22" s="409" t="s">
        <v>86</v>
      </c>
      <c r="B22" s="409"/>
      <c r="C22" s="410"/>
      <c r="D22" s="359"/>
      <c r="E22" s="360"/>
      <c r="F22" s="361"/>
      <c r="G22" s="362"/>
      <c r="H22" s="363"/>
      <c r="I22" s="364"/>
      <c r="J22" s="365"/>
      <c r="K22" s="366"/>
      <c r="L22" s="367"/>
      <c r="M22" s="368"/>
      <c r="N22" s="369"/>
      <c r="O22" s="370"/>
      <c r="P22" s="66"/>
      <c r="Q22" s="371">
        <v>7</v>
      </c>
      <c r="S22" s="103"/>
    </row>
    <row r="23" spans="1:41" ht="18.75" customHeight="1">
      <c r="A23" s="411"/>
      <c r="B23" s="411"/>
      <c r="C23" s="412"/>
      <c r="D23" s="304">
        <v>0.2</v>
      </c>
      <c r="E23" s="305"/>
      <c r="F23" s="23">
        <v>1</v>
      </c>
      <c r="G23" s="306">
        <f>IF(SUM(Q23)&lt;=0,"0",(SMALL(Q23, COUNTIF(Q23, "&lt;=0") + 1)))</f>
        <v>2300</v>
      </c>
      <c r="H23" s="307">
        <f>G23*1.2</f>
        <v>2760</v>
      </c>
      <c r="I23" s="308">
        <f>(H23*0.2)+G23</f>
        <v>2852</v>
      </c>
      <c r="J23" s="309"/>
      <c r="K23" s="310"/>
      <c r="L23" s="311">
        <f t="shared" ref="L23:L29" si="6">(I23-G23)+G23</f>
        <v>2852</v>
      </c>
      <c r="M23" s="312">
        <f t="shared" ref="M23:M29" si="7">(L23*1.01)</f>
        <v>2880.52</v>
      </c>
      <c r="N23" s="313">
        <f t="shared" ref="N23:N29" si="8">(L23+M23)/2</f>
        <v>2866.26</v>
      </c>
      <c r="O23" s="314"/>
      <c r="P23" s="66"/>
      <c r="Q23" s="429">
        <v>2300</v>
      </c>
    </row>
    <row r="24" spans="1:41" ht="18.75" customHeight="1">
      <c r="A24" s="411"/>
      <c r="B24" s="411"/>
      <c r="C24" s="412"/>
      <c r="D24" s="138">
        <v>0.15</v>
      </c>
      <c r="E24" s="139"/>
      <c r="F24" s="9">
        <v>1</v>
      </c>
      <c r="G24" s="56">
        <f>IF(SUM(Q23)&lt;=0,"0",(SMALL(Q23, COUNTIF(Q23, "&lt;=0") + 1)))</f>
        <v>2300</v>
      </c>
      <c r="H24" s="37">
        <f>G24*1.15</f>
        <v>2645</v>
      </c>
      <c r="I24" s="47">
        <f>(H24*0.15)+G24</f>
        <v>2696.75</v>
      </c>
      <c r="J24" s="49"/>
      <c r="K24" s="137"/>
      <c r="L24" s="295">
        <f t="shared" si="6"/>
        <v>2696.75</v>
      </c>
      <c r="M24" s="296">
        <f t="shared" si="7"/>
        <v>2723.7175000000002</v>
      </c>
      <c r="N24" s="130">
        <f t="shared" si="8"/>
        <v>2710.2337500000003</v>
      </c>
      <c r="O24" s="46"/>
      <c r="P24" s="66"/>
      <c r="Q24" s="429"/>
    </row>
    <row r="25" spans="1:41" ht="18.75" customHeight="1">
      <c r="A25" s="411"/>
      <c r="B25" s="411"/>
      <c r="C25" s="412"/>
      <c r="D25" s="291">
        <v>0.12</v>
      </c>
      <c r="E25" s="139"/>
      <c r="F25" s="9">
        <v>1</v>
      </c>
      <c r="G25" s="56">
        <f>IF(SUM(Q23)&lt;=0,"0",(SMALL(Q23, COUNTIF(Q23, "&lt;=0") + 1)))</f>
        <v>2300</v>
      </c>
      <c r="H25" s="37">
        <f>G25*1.12</f>
        <v>2576.0000000000005</v>
      </c>
      <c r="I25" s="47">
        <f>(H25*0.12)+G25</f>
        <v>2609.12</v>
      </c>
      <c r="J25" s="49"/>
      <c r="K25" s="137"/>
      <c r="L25" s="295">
        <f t="shared" si="6"/>
        <v>2609.12</v>
      </c>
      <c r="M25" s="296">
        <f t="shared" si="7"/>
        <v>2635.2111999999997</v>
      </c>
      <c r="N25" s="293">
        <f>(L25+M25)/2</f>
        <v>2622.1655999999998</v>
      </c>
      <c r="O25" s="46"/>
      <c r="P25" s="66"/>
      <c r="Q25" s="429"/>
      <c r="U25" s="332"/>
    </row>
    <row r="26" spans="1:41" ht="18.75" customHeight="1">
      <c r="A26" s="411"/>
      <c r="B26" s="411"/>
      <c r="C26" s="412"/>
      <c r="D26" s="138">
        <v>0.1</v>
      </c>
      <c r="E26" s="139"/>
      <c r="F26" s="9">
        <v>1</v>
      </c>
      <c r="G26" s="56">
        <f>IF(SUM(Q23)&lt;=0,"0",(SMALL(Q23, COUNTIF(Q23, "&lt;=0") + 1)))</f>
        <v>2300</v>
      </c>
      <c r="H26" s="37">
        <f>G26*1.1</f>
        <v>2530</v>
      </c>
      <c r="I26" s="47">
        <f>(H26*0.1)+G26</f>
        <v>2553</v>
      </c>
      <c r="J26" s="49"/>
      <c r="K26" s="137"/>
      <c r="L26" s="295">
        <f t="shared" si="6"/>
        <v>2553</v>
      </c>
      <c r="M26" s="296">
        <f t="shared" si="7"/>
        <v>2578.5300000000002</v>
      </c>
      <c r="N26" s="130">
        <f>(L26+M26)/2</f>
        <v>2565.7650000000003</v>
      </c>
      <c r="O26" s="46"/>
      <c r="P26" s="66"/>
      <c r="Q26" s="429"/>
      <c r="V26"/>
    </row>
    <row r="27" spans="1:41" ht="18.75" customHeight="1" thickBot="1">
      <c r="A27" s="413"/>
      <c r="B27" s="413"/>
      <c r="C27" s="414"/>
      <c r="D27" s="315">
        <v>0.08</v>
      </c>
      <c r="E27" s="330"/>
      <c r="F27" s="316">
        <v>1</v>
      </c>
      <c r="G27" s="317">
        <f>IF(SUM(Q23)&lt;=0,"0",(SMALL(Q23, COUNTIF(Q23, "&lt;=0") + 1)))</f>
        <v>2300</v>
      </c>
      <c r="H27" s="318">
        <f>G27*1.08</f>
        <v>2484</v>
      </c>
      <c r="I27" s="319">
        <f>(H27*0.08)+G27</f>
        <v>2498.7199999999998</v>
      </c>
      <c r="J27" s="320"/>
      <c r="K27" s="321"/>
      <c r="L27" s="331">
        <f t="shared" si="6"/>
        <v>2498.7199999999998</v>
      </c>
      <c r="M27" s="322">
        <f t="shared" si="7"/>
        <v>2523.7071999999998</v>
      </c>
      <c r="N27" s="323">
        <f t="shared" si="8"/>
        <v>2511.2136</v>
      </c>
      <c r="O27" s="324"/>
      <c r="P27" s="325"/>
      <c r="Q27" s="430"/>
      <c r="V27"/>
      <c r="W27"/>
    </row>
    <row r="28" spans="1:41" ht="21" hidden="1">
      <c r="A28" s="407" t="s">
        <v>87</v>
      </c>
      <c r="B28" s="407"/>
      <c r="C28" s="408"/>
      <c r="D28" s="326">
        <v>0.08</v>
      </c>
      <c r="E28" s="326"/>
      <c r="F28" s="23">
        <v>1</v>
      </c>
      <c r="G28" s="306" t="str">
        <f>IF(SUM(Q28:AI28)&lt;=0,"0",(SMALL(Q28:AI28, COUNTIF(Q28:AI28, "&lt;=0") + 1)))</f>
        <v>0</v>
      </c>
      <c r="H28" s="307">
        <f>G28*1.09</f>
        <v>0</v>
      </c>
      <c r="I28" s="308">
        <f>(H28*0.09)+G28</f>
        <v>0</v>
      </c>
      <c r="J28" s="309"/>
      <c r="K28" s="310"/>
      <c r="L28" s="327">
        <f t="shared" si="6"/>
        <v>0</v>
      </c>
      <c r="M28" s="328">
        <f t="shared" si="7"/>
        <v>0</v>
      </c>
      <c r="N28" s="329">
        <f t="shared" si="8"/>
        <v>0</v>
      </c>
      <c r="O28" s="314"/>
      <c r="P28" s="66"/>
      <c r="Q28" s="141"/>
      <c r="T28"/>
      <c r="U28"/>
      <c r="V28"/>
      <c r="W28"/>
      <c r="Y28"/>
    </row>
    <row r="29" spans="1:41" ht="21" hidden="1">
      <c r="A29" s="415" t="s">
        <v>88</v>
      </c>
      <c r="B29" s="415"/>
      <c r="C29" s="416"/>
      <c r="D29" s="238">
        <v>0.08</v>
      </c>
      <c r="E29" s="238"/>
      <c r="F29" s="18">
        <v>1</v>
      </c>
      <c r="G29" s="81" t="str">
        <f>IF(SUM(Q29:AI29)&lt;=0,"0",(SMALL(Q29:AI29, COUNTIF(Q29:AI29, "&lt;=0") + 1)))</f>
        <v>0</v>
      </c>
      <c r="H29" s="239"/>
      <c r="I29" s="240">
        <f>(H29*0.09)+G29</f>
        <v>0</v>
      </c>
      <c r="J29" s="84"/>
      <c r="K29" s="241"/>
      <c r="L29" s="242">
        <f t="shared" si="6"/>
        <v>0</v>
      </c>
      <c r="M29" s="124">
        <f t="shared" si="7"/>
        <v>0</v>
      </c>
      <c r="N29" s="243">
        <f t="shared" si="8"/>
        <v>0</v>
      </c>
      <c r="O29" s="85"/>
      <c r="P29" s="66"/>
      <c r="Q29" s="142"/>
      <c r="V29"/>
      <c r="W29"/>
    </row>
    <row r="30" spans="1:41">
      <c r="A30" s="7"/>
      <c r="B30" s="7"/>
      <c r="C30" s="7"/>
      <c r="D30" s="7"/>
      <c r="E30" s="7"/>
      <c r="F30" s="7"/>
      <c r="M30" s="7"/>
      <c r="N30" s="67"/>
      <c r="O30" s="67"/>
      <c r="P30" s="236"/>
      <c r="T30"/>
      <c r="V30"/>
      <c r="W30"/>
    </row>
    <row r="31" spans="1:41">
      <c r="A31" s="7"/>
      <c r="B31" s="7"/>
      <c r="C31" s="7"/>
      <c r="D31" s="7"/>
      <c r="E31" s="7"/>
      <c r="F31" s="7"/>
      <c r="M31" s="237"/>
      <c r="N31" s="67"/>
      <c r="O31" s="67"/>
      <c r="P31" s="236"/>
      <c r="Q31" s="5">
        <f>2710/20</f>
        <v>135.5</v>
      </c>
      <c r="T31"/>
      <c r="V31"/>
      <c r="W31"/>
    </row>
    <row r="32" spans="1:41" s="65" customFormat="1" ht="15.75" thickBot="1">
      <c r="A32" s="7"/>
      <c r="B32" s="7"/>
      <c r="C32" s="7"/>
      <c r="D32" s="8"/>
      <c r="E32" s="8"/>
      <c r="F32" s="7"/>
      <c r="G32" s="5"/>
      <c r="H32" s="5"/>
      <c r="I32" s="5"/>
      <c r="J32" s="5"/>
      <c r="K32" s="5"/>
      <c r="L32" s="5"/>
      <c r="M32" s="7"/>
      <c r="N32" s="67"/>
      <c r="O32" s="67"/>
      <c r="P32" s="236"/>
      <c r="Q32">
        <f>100/20</f>
        <v>5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65" customFormat="1">
      <c r="A33" s="7"/>
      <c r="B33" s="7"/>
      <c r="C33" s="244"/>
      <c r="D33" s="248"/>
      <c r="E33" s="249"/>
      <c r="F33" s="246"/>
      <c r="G33"/>
      <c r="H33" s="5"/>
      <c r="I33"/>
      <c r="J33"/>
      <c r="K33" s="5">
        <f>650-18</f>
        <v>632</v>
      </c>
      <c r="L33"/>
      <c r="M33" s="7"/>
      <c r="N33" s="67"/>
      <c r="O33" s="67"/>
      <c r="P33" s="236"/>
      <c r="Q33">
        <f>412/3</f>
        <v>137.33333333333334</v>
      </c>
      <c r="R33" s="5"/>
      <c r="S33"/>
      <c r="T33"/>
      <c r="U33" s="5"/>
      <c r="V33" s="233"/>
      <c r="W33" s="233"/>
      <c r="X33" s="5"/>
      <c r="Y33" s="5"/>
      <c r="Z33" s="5"/>
      <c r="AA33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s="65" customFormat="1">
      <c r="A34" s="67"/>
      <c r="B34" s="67"/>
      <c r="C34" s="245"/>
      <c r="D34" s="250"/>
      <c r="E34" s="251"/>
      <c r="F34" s="247"/>
      <c r="G34"/>
      <c r="H34" s="5"/>
      <c r="I34" s="5"/>
      <c r="J34"/>
      <c r="K34" s="5">
        <f>K33/11</f>
        <v>57.454545454545453</v>
      </c>
      <c r="L34" s="284"/>
      <c r="M34" s="67"/>
      <c r="N34" s="67"/>
      <c r="O34" s="67"/>
      <c r="P34" s="236"/>
      <c r="Q34" s="5"/>
      <c r="R34" s="5"/>
      <c r="S34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s="65" customFormat="1">
      <c r="A35" s="67"/>
      <c r="B35" s="67"/>
      <c r="C35" s="245"/>
      <c r="D35" s="250"/>
      <c r="E35" s="251"/>
      <c r="F35" s="247"/>
      <c r="G35"/>
      <c r="H35" s="5"/>
      <c r="I35"/>
      <c r="J35"/>
      <c r="K35" s="5"/>
      <c r="L35" s="233"/>
      <c r="M35" s="67"/>
      <c r="N35" s="67"/>
      <c r="O35" s="67"/>
      <c r="P35" s="236"/>
      <c r="Q35" s="5"/>
      <c r="R35" s="103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s="65" customFormat="1" ht="15.75" thickBot="1">
      <c r="A36" s="67"/>
      <c r="B36" s="67"/>
      <c r="C36" s="245"/>
      <c r="D36" s="252"/>
      <c r="E36" s="253"/>
      <c r="F36" s="247"/>
      <c r="G36" s="5"/>
      <c r="H36" s="5"/>
      <c r="I36" s="5"/>
      <c r="J36" s="5"/>
      <c r="K36" s="5"/>
      <c r="L36" s="5"/>
      <c r="M36" s="67"/>
      <c r="N36" s="67"/>
      <c r="O36" s="67"/>
      <c r="P36" s="236"/>
      <c r="Q36" s="5"/>
      <c r="R36" s="103"/>
      <c r="S36" s="5"/>
      <c r="T36" s="5"/>
      <c r="U36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s="65" customFormat="1" ht="15.75" thickBot="1">
      <c r="A37" s="67"/>
      <c r="B37" s="67"/>
      <c r="C37" s="67"/>
      <c r="D37" s="254"/>
      <c r="E37" s="31"/>
      <c r="F37" s="247"/>
      <c r="G37" s="5"/>
      <c r="H37" s="5"/>
      <c r="I37" s="5"/>
      <c r="J37" s="5"/>
      <c r="K37" s="5"/>
      <c r="L37" s="5">
        <f>M38-(528.26/1.18)</f>
        <v>-352.59116610169497</v>
      </c>
      <c r="M37" s="67"/>
      <c r="N37" s="67"/>
      <c r="O37" s="67"/>
      <c r="P37" s="236"/>
      <c r="Q37" s="5"/>
      <c r="R37" s="5"/>
      <c r="S37"/>
      <c r="T37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>
      <c r="A38" s="67"/>
      <c r="B38" s="67"/>
      <c r="C38" s="68"/>
      <c r="D38" s="67"/>
      <c r="E38" s="67"/>
      <c r="F38" s="67"/>
      <c r="L38" s="5">
        <f>327*0.18</f>
        <v>58.86</v>
      </c>
      <c r="M38" s="67">
        <f>528.26*0.18</f>
        <v>95.086799999999997</v>
      </c>
      <c r="N38" s="67"/>
      <c r="O38" s="67"/>
      <c r="P38" s="236"/>
      <c r="R38" s="103"/>
      <c r="W38"/>
    </row>
    <row r="39" spans="1:4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236"/>
      <c r="U39"/>
    </row>
    <row r="40" spans="1:4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98"/>
      <c r="O40" s="67"/>
      <c r="P40" s="236"/>
    </row>
    <row r="41" spans="1: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236"/>
      <c r="W41" s="103"/>
    </row>
    <row r="42" spans="1:41">
      <c r="A42" s="67"/>
      <c r="B42" s="67"/>
      <c r="C42" s="67"/>
      <c r="D42" s="67"/>
      <c r="E42" s="67"/>
      <c r="F42" s="67"/>
      <c r="G42" s="67"/>
      <c r="H42" s="67"/>
      <c r="I42" s="67">
        <f>72*85</f>
        <v>6120</v>
      </c>
      <c r="J42" s="67">
        <f>28*85</f>
        <v>2380</v>
      </c>
      <c r="K42" s="67"/>
      <c r="L42" s="67"/>
      <c r="M42" s="67"/>
      <c r="N42" s="67"/>
      <c r="O42" s="67"/>
      <c r="P42" s="236"/>
    </row>
    <row r="43" spans="1:41" s="65" customFormat="1">
      <c r="A43" s="67"/>
      <c r="B43" s="67"/>
      <c r="C43" s="67"/>
      <c r="D43" s="67"/>
      <c r="E43" s="67"/>
      <c r="F43" s="67"/>
      <c r="G43" s="67"/>
      <c r="H43" s="67"/>
      <c r="I43" s="67">
        <f>I42*1.18</f>
        <v>7221.5999999999995</v>
      </c>
      <c r="J43" s="67">
        <f>J42*1.18</f>
        <v>2808.3999999999996</v>
      </c>
      <c r="K43" s="67"/>
      <c r="L43" s="68"/>
      <c r="M43" s="67"/>
      <c r="N43" s="67"/>
      <c r="O43" s="68"/>
      <c r="P43" s="236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>
      <c r="S44"/>
      <c r="T44"/>
    </row>
    <row r="45" spans="1:41">
      <c r="Q45" s="5">
        <v>50</v>
      </c>
    </row>
    <row r="46" spans="1:41">
      <c r="Q46" s="5">
        <v>61</v>
      </c>
    </row>
    <row r="47" spans="1:41">
      <c r="N47"/>
      <c r="Q47" s="5">
        <f>SUM(Q45:Q46)</f>
        <v>111</v>
      </c>
    </row>
    <row r="48" spans="1:41">
      <c r="Q48" s="5">
        <f>60-Q47</f>
        <v>-51</v>
      </c>
      <c r="V48" s="103"/>
    </row>
    <row r="50" spans="3:24">
      <c r="K50" s="5">
        <f>4850*1.1</f>
        <v>5335</v>
      </c>
    </row>
    <row r="52" spans="3:24">
      <c r="X52" s="102"/>
    </row>
    <row r="56" spans="3:24" ht="15.75" thickBot="1">
      <c r="C56" s="104"/>
      <c r="I56"/>
    </row>
    <row r="57" spans="3:24" ht="15.75" thickBot="1">
      <c r="G57" s="31"/>
    </row>
    <row r="60" spans="3:24">
      <c r="L60" s="5">
        <f>750*1.12</f>
        <v>840.00000000000011</v>
      </c>
      <c r="T60"/>
    </row>
    <row r="61" spans="3:24">
      <c r="C61" s="104"/>
      <c r="T61"/>
    </row>
    <row r="62" spans="3:24">
      <c r="C62" s="104"/>
      <c r="T62"/>
    </row>
    <row r="63" spans="3:24">
      <c r="T63"/>
    </row>
    <row r="64" spans="3:24">
      <c r="C64" s="104"/>
    </row>
    <row r="65" spans="3:21">
      <c r="C65" s="104"/>
      <c r="L65"/>
      <c r="Q65"/>
    </row>
    <row r="66" spans="3:21">
      <c r="L66"/>
      <c r="Q66"/>
    </row>
    <row r="67" spans="3:21">
      <c r="Q67"/>
    </row>
    <row r="68" spans="3:21">
      <c r="Q68"/>
    </row>
    <row r="69" spans="3:21">
      <c r="I69"/>
      <c r="L69" s="5">
        <f>750*1.14</f>
        <v>854.99999999999989</v>
      </c>
      <c r="M69" s="5">
        <v>869</v>
      </c>
      <c r="Q69"/>
      <c r="R69"/>
      <c r="U69"/>
    </row>
    <row r="70" spans="3:21">
      <c r="M70" s="5">
        <v>839</v>
      </c>
      <c r="Q70"/>
      <c r="R70"/>
      <c r="U70"/>
    </row>
    <row r="71" spans="3:21">
      <c r="R71"/>
      <c r="U71"/>
    </row>
    <row r="72" spans="3:21">
      <c r="R72"/>
      <c r="U72"/>
    </row>
    <row r="73" spans="3:21">
      <c r="R73"/>
      <c r="U73"/>
    </row>
    <row r="76" spans="3:21">
      <c r="M76"/>
    </row>
    <row r="77" spans="3:21">
      <c r="J77"/>
      <c r="M77"/>
    </row>
    <row r="86" spans="9:23">
      <c r="I86"/>
    </row>
    <row r="87" spans="9:23">
      <c r="W87"/>
    </row>
    <row r="89" spans="9:23">
      <c r="I89"/>
      <c r="J89"/>
    </row>
    <row r="90" spans="9:23">
      <c r="J90"/>
      <c r="W90"/>
    </row>
    <row r="96" spans="9:23">
      <c r="J96"/>
      <c r="Q96"/>
    </row>
    <row r="97" spans="5:19">
      <c r="J97"/>
      <c r="Q97"/>
    </row>
    <row r="100" spans="5:19">
      <c r="J100"/>
    </row>
    <row r="103" spans="5:19">
      <c r="J103"/>
    </row>
    <row r="104" spans="5:19">
      <c r="J104"/>
    </row>
    <row r="105" spans="5:19">
      <c r="J105"/>
    </row>
    <row r="106" spans="5:19">
      <c r="J106"/>
    </row>
    <row r="107" spans="5:19">
      <c r="E107"/>
      <c r="J107"/>
    </row>
    <row r="108" spans="5:19">
      <c r="J108"/>
    </row>
    <row r="109" spans="5:19">
      <c r="J109"/>
    </row>
    <row r="110" spans="5:19">
      <c r="J110"/>
    </row>
    <row r="111" spans="5:19">
      <c r="J111"/>
      <c r="S111"/>
    </row>
    <row r="112" spans="5:19">
      <c r="J112"/>
      <c r="S112"/>
    </row>
    <row r="113" spans="10:20">
      <c r="J113"/>
      <c r="S113"/>
    </row>
    <row r="114" spans="10:20">
      <c r="J114"/>
    </row>
    <row r="115" spans="10:20">
      <c r="J115"/>
      <c r="T115"/>
    </row>
    <row r="116" spans="10:20">
      <c r="J116"/>
    </row>
    <row r="117" spans="10:20">
      <c r="J117"/>
    </row>
    <row r="118" spans="10:20">
      <c r="J118"/>
    </row>
    <row r="119" spans="10:20">
      <c r="J119"/>
    </row>
    <row r="120" spans="10:20">
      <c r="J120"/>
    </row>
    <row r="130" spans="21:21">
      <c r="U130"/>
    </row>
    <row r="1048465" spans="13:13">
      <c r="M1048465" s="5">
        <f>3123-1740</f>
        <v>1383</v>
      </c>
    </row>
    <row r="1048569" spans="12:13">
      <c r="L1048569" s="5">
        <f>3122.92-1740</f>
        <v>1382.92</v>
      </c>
      <c r="M1048569" s="5">
        <v>600</v>
      </c>
    </row>
    <row r="1048570" spans="12:13">
      <c r="L1048570" s="5">
        <f>L1048569-836</f>
        <v>546.92000000000007</v>
      </c>
      <c r="M1048570" s="5">
        <v>178</v>
      </c>
    </row>
    <row r="1048571" spans="12:13">
      <c r="M1048571" s="5">
        <f>SUM(M1048569:M1048570)</f>
        <v>778</v>
      </c>
    </row>
  </sheetData>
  <mergeCells count="25">
    <mergeCell ref="A6:O6"/>
    <mergeCell ref="A1:B1"/>
    <mergeCell ref="E1:F1"/>
    <mergeCell ref="G1:H1"/>
    <mergeCell ref="I1:J1"/>
    <mergeCell ref="A2:B2"/>
    <mergeCell ref="D2:E2"/>
    <mergeCell ref="Q2:V2"/>
    <mergeCell ref="A3:AB3"/>
    <mergeCell ref="R4:AB4"/>
    <mergeCell ref="D5:E5"/>
    <mergeCell ref="R5:AB5"/>
    <mergeCell ref="A8:AB8"/>
    <mergeCell ref="R10:AB10"/>
    <mergeCell ref="A11:I11"/>
    <mergeCell ref="J11:R11"/>
    <mergeCell ref="S11:AA11"/>
    <mergeCell ref="AB11:AJ11"/>
    <mergeCell ref="A29:C29"/>
    <mergeCell ref="A12:O12"/>
    <mergeCell ref="A14:C21"/>
    <mergeCell ref="Q14:Q21"/>
    <mergeCell ref="A22:C27"/>
    <mergeCell ref="Q23:Q27"/>
    <mergeCell ref="A28:C2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"/>
  <dimension ref="A1:AO1048571"/>
  <sheetViews>
    <sheetView tabSelected="1" zoomScale="90" zoomScaleNormal="90" workbookViewId="0">
      <pane ySplit="2" topLeftCell="F5" activePane="bottomLeft" state="frozen"/>
      <selection pane="bottomLeft" activeCell="I15" sqref="I15"/>
    </sheetView>
  </sheetViews>
  <sheetFormatPr defaultColWidth="11.42578125" defaultRowHeight="15"/>
  <cols>
    <col min="1" max="1" width="2.7109375" style="5" customWidth="1"/>
    <col min="2" max="2" width="2.85546875" style="5" customWidth="1"/>
    <col min="3" max="3" width="12.42578125" style="5" customWidth="1"/>
    <col min="4" max="4" width="20.42578125" style="5" customWidth="1"/>
    <col min="5" max="5" width="9.140625" style="5" customWidth="1"/>
    <col min="6" max="6" width="6.140625" style="5" customWidth="1"/>
    <col min="7" max="7" width="8.7109375" style="5" customWidth="1"/>
    <col min="8" max="8" width="6.28515625" style="5" customWidth="1"/>
    <col min="9" max="9" width="15.28515625" style="5" customWidth="1"/>
    <col min="10" max="10" width="6.5703125" style="5" customWidth="1"/>
    <col min="11" max="11" width="13.7109375" style="5" customWidth="1"/>
    <col min="12" max="12" width="13" style="5" customWidth="1"/>
    <col min="13" max="13" width="14.140625" style="5" customWidth="1"/>
    <col min="14" max="14" width="9.85546875" style="5" bestFit="1" customWidth="1"/>
    <col min="15" max="15" width="8.28515625" style="5" customWidth="1"/>
    <col min="16" max="16" width="1.140625" style="65" customWidth="1"/>
    <col min="17" max="17" width="18.7109375" style="5" customWidth="1"/>
    <col min="18" max="18" width="11.28515625" style="5" customWidth="1"/>
    <col min="19" max="19" width="8" style="5" bestFit="1" customWidth="1"/>
    <col min="20" max="20" width="9.28515625" style="5" customWidth="1"/>
    <col min="21" max="21" width="7.140625" style="5" bestFit="1" customWidth="1"/>
    <col min="22" max="22" width="8" style="5" bestFit="1" customWidth="1"/>
    <col min="23" max="23" width="9.85546875" style="5" customWidth="1"/>
    <col min="24" max="24" width="10" style="5" customWidth="1"/>
    <col min="25" max="25" width="8.5703125" style="5" bestFit="1" customWidth="1"/>
    <col min="26" max="26" width="9.5703125" style="5" bestFit="1" customWidth="1"/>
    <col min="27" max="28" width="7.5703125" style="5" customWidth="1"/>
    <col min="29" max="29" width="8.5703125" style="5" bestFit="1" customWidth="1"/>
    <col min="30" max="30" width="8.7109375" style="5" bestFit="1" customWidth="1"/>
    <col min="31" max="31" width="7.5703125" style="5" customWidth="1"/>
    <col min="32" max="32" width="8" style="5" bestFit="1" customWidth="1"/>
    <col min="33" max="33" width="7.42578125" style="5" customWidth="1"/>
    <col min="34" max="34" width="9.140625" style="5" bestFit="1" customWidth="1"/>
    <col min="35" max="35" width="9.140625" style="5" customWidth="1"/>
    <col min="36" max="16384" width="11.42578125" style="5"/>
  </cols>
  <sheetData>
    <row r="1" spans="1:41" ht="21.75" thickTop="1" thickBot="1">
      <c r="A1" s="381" t="s">
        <v>0</v>
      </c>
      <c r="B1" s="381"/>
      <c r="C1" s="258">
        <v>0.1</v>
      </c>
      <c r="D1" s="374" t="s">
        <v>1</v>
      </c>
      <c r="E1" s="382">
        <v>30</v>
      </c>
      <c r="F1" s="382"/>
      <c r="G1" s="383" t="s">
        <v>2</v>
      </c>
      <c r="H1" s="384"/>
      <c r="I1" s="385">
        <f>E1/1.18</f>
        <v>25.423728813559322</v>
      </c>
      <c r="J1" s="386"/>
      <c r="L1" s="100"/>
      <c r="M1" s="101"/>
      <c r="N1" s="99" t="s">
        <v>3</v>
      </c>
      <c r="O1" s="223">
        <v>3.46</v>
      </c>
    </row>
    <row r="2" spans="1:41" ht="18" customHeight="1" thickTop="1" thickBot="1">
      <c r="A2" s="387" t="s">
        <v>4</v>
      </c>
      <c r="B2" s="388"/>
      <c r="C2" s="260" t="s">
        <v>5</v>
      </c>
      <c r="D2" s="389" t="s">
        <v>6</v>
      </c>
      <c r="E2" s="390"/>
      <c r="F2" s="261" t="s">
        <v>7</v>
      </c>
      <c r="G2" s="69" t="s">
        <v>8</v>
      </c>
      <c r="H2" s="45" t="s">
        <v>9</v>
      </c>
      <c r="I2" s="3" t="s">
        <v>10</v>
      </c>
      <c r="J2" s="222"/>
      <c r="K2" s="222"/>
      <c r="L2" s="8"/>
      <c r="M2" s="8"/>
      <c r="O2"/>
      <c r="Q2" s="396" t="s">
        <v>11</v>
      </c>
      <c r="R2" s="396"/>
      <c r="S2" s="396"/>
      <c r="T2" s="396"/>
      <c r="U2" s="396"/>
      <c r="V2" s="396"/>
      <c r="W2" s="373"/>
      <c r="X2" s="373"/>
    </row>
    <row r="3" spans="1:41" ht="31.5" customHeight="1" thickBot="1">
      <c r="A3" s="397" t="s">
        <v>73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397"/>
      <c r="W3" s="397"/>
      <c r="X3" s="397"/>
      <c r="Y3" s="397"/>
      <c r="Z3" s="397"/>
      <c r="AA3" s="397"/>
      <c r="AB3" s="397"/>
      <c r="AC3" s="108"/>
      <c r="AD3" s="108"/>
      <c r="AE3" s="108"/>
      <c r="AF3" s="108"/>
      <c r="AG3" s="108"/>
      <c r="AH3" s="108"/>
      <c r="AI3" s="108"/>
      <c r="AJ3" s="109"/>
    </row>
    <row r="4" spans="1:41" ht="15.75" customHeight="1" thickBot="1">
      <c r="A4" s="111" t="s">
        <v>74</v>
      </c>
      <c r="B4" s="111"/>
      <c r="C4" s="111"/>
      <c r="D4" s="111"/>
      <c r="E4" s="111"/>
      <c r="F4" s="114" t="s">
        <v>75</v>
      </c>
      <c r="G4" s="114" t="s">
        <v>76</v>
      </c>
      <c r="H4" s="111"/>
      <c r="I4" s="113" t="s">
        <v>77</v>
      </c>
      <c r="J4" s="72" t="s">
        <v>13</v>
      </c>
      <c r="K4" s="134" t="s">
        <v>14</v>
      </c>
      <c r="L4" s="131" t="s">
        <v>15</v>
      </c>
      <c r="M4" s="4" t="s">
        <v>78</v>
      </c>
      <c r="N4" s="129" t="s">
        <v>79</v>
      </c>
      <c r="O4" s="61" t="s">
        <v>17</v>
      </c>
      <c r="P4" s="66"/>
      <c r="Q4" s="1"/>
      <c r="R4" s="398" t="s">
        <v>80</v>
      </c>
      <c r="S4" s="399"/>
      <c r="T4" s="399"/>
      <c r="U4" s="399"/>
      <c r="V4" s="399"/>
      <c r="W4" s="399"/>
      <c r="X4" s="399"/>
      <c r="Y4" s="399"/>
      <c r="Z4" s="399"/>
      <c r="AA4" s="399"/>
      <c r="AB4" s="399"/>
      <c r="AH4" s="1"/>
      <c r="AI4" s="1"/>
      <c r="AJ4" s="67"/>
      <c r="AK4" s="67"/>
      <c r="AL4" s="67"/>
    </row>
    <row r="5" spans="1:41" s="10" customFormat="1" ht="30.6" customHeight="1">
      <c r="A5" s="1">
        <v>3</v>
      </c>
      <c r="B5" s="110"/>
      <c r="C5" s="136"/>
      <c r="D5" s="391"/>
      <c r="E5" s="392"/>
      <c r="F5" s="115">
        <v>1</v>
      </c>
      <c r="G5" s="116" t="str">
        <f>IF(SUM(Q5:AI5)&lt;=0,"0",(SMALL(Q5:AI5, COUNTIF(Q5:AI5, "&lt;=0") + 1)))</f>
        <v>0</v>
      </c>
      <c r="H5" s="117"/>
      <c r="I5" s="287">
        <f>(((G5-H5)*1.18)*$O$1)*F5</f>
        <v>0</v>
      </c>
      <c r="J5" s="118"/>
      <c r="K5" s="135">
        <f>L5-I5</f>
        <v>0</v>
      </c>
      <c r="L5" s="132">
        <f>IF(AND(G5&gt;0,G5&lt;50),(I5*1.2), IF(AND(G5&gt;=50,G5&lt;=99),(I5*1.13), IF(AND(G5&gt;=100,G5&lt;=299),(I5*1.1), IF(AND(G5&gt;=300,G5&lt;=599),(I5*1.08), IF(AND(G5&gt;=600,G5&lt;=999),(I5*1.073), IF(AND(G5&gt;=1000,G5&lt;=1499),(I5*1.067), IF(AND(G5&gt;=1500,G5&lt;=1999),(I5*1.063), IF(AND(G5&gt;=2000,G5&lt;=2499),(I5*1.058), IF((G5&gt;=2500),(I5*1.05), 0)))))))))</f>
        <v>0</v>
      </c>
      <c r="M5" s="119">
        <f>(L5*1.01)</f>
        <v>0</v>
      </c>
      <c r="N5" s="285">
        <f>(L5+M5)/2</f>
        <v>0</v>
      </c>
      <c r="O5" s="120"/>
      <c r="P5" s="121"/>
      <c r="Q5" s="286">
        <v>0</v>
      </c>
      <c r="R5" s="393" t="s">
        <v>81</v>
      </c>
      <c r="S5" s="394"/>
      <c r="T5" s="394"/>
      <c r="U5" s="394"/>
      <c r="V5" s="394"/>
      <c r="W5" s="394"/>
      <c r="X5" s="394"/>
      <c r="Y5" s="394"/>
      <c r="Z5" s="394"/>
      <c r="AA5" s="394"/>
      <c r="AB5" s="395"/>
      <c r="AC5" s="97"/>
      <c r="AD5" s="97"/>
      <c r="AE5" s="98"/>
      <c r="AF5" s="98"/>
      <c r="AG5" s="98"/>
      <c r="AH5" s="98"/>
      <c r="AI5" s="98"/>
      <c r="AJ5" s="67"/>
      <c r="AK5" s="67"/>
      <c r="AL5" s="67"/>
      <c r="AM5" s="5"/>
      <c r="AN5" s="5"/>
      <c r="AO5" s="5"/>
    </row>
    <row r="6" spans="1:41" ht="27" customHeight="1">
      <c r="A6" s="400"/>
      <c r="B6" s="401"/>
      <c r="C6" s="401"/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2"/>
      <c r="P6" s="66"/>
      <c r="R6" s="80"/>
      <c r="S6" s="79"/>
      <c r="T6" s="80"/>
      <c r="U6" s="79"/>
      <c r="V6" s="80"/>
      <c r="W6" s="79"/>
      <c r="X6" s="80"/>
      <c r="Y6" s="79"/>
      <c r="Z6" s="80"/>
      <c r="AA6" s="79"/>
      <c r="AB6" s="80"/>
      <c r="AC6" s="79"/>
      <c r="AD6" s="80"/>
      <c r="AE6" s="79"/>
      <c r="AF6" s="80"/>
      <c r="AG6" s="79"/>
      <c r="AH6" s="80"/>
      <c r="AI6" s="79"/>
      <c r="AJ6" s="80"/>
      <c r="AK6" s="67"/>
      <c r="AL6" s="67"/>
    </row>
    <row r="7" spans="1:41" ht="1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O7" s="86"/>
      <c r="P7" s="66"/>
      <c r="Q7" s="79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</row>
    <row r="8" spans="1:41" ht="18" customHeight="1">
      <c r="A8" s="397" t="s">
        <v>82</v>
      </c>
      <c r="B8" s="397"/>
      <c r="C8" s="397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  <c r="X8" s="397"/>
      <c r="Y8" s="397"/>
      <c r="Z8" s="397"/>
      <c r="AA8" s="397"/>
      <c r="AB8" s="397"/>
      <c r="AC8" s="108"/>
      <c r="AD8" s="108"/>
      <c r="AE8" s="108"/>
      <c r="AF8" s="108"/>
      <c r="AG8" s="108"/>
      <c r="AH8" s="108"/>
      <c r="AI8" s="108"/>
      <c r="AJ8" s="109"/>
      <c r="AK8" s="67"/>
      <c r="AL8" s="67"/>
    </row>
    <row r="9" spans="1:41" ht="13.5" customHeight="1">
      <c r="A9" s="112" t="s">
        <v>74</v>
      </c>
      <c r="B9" s="112"/>
      <c r="C9" s="112"/>
      <c r="D9" s="112"/>
      <c r="E9" s="112"/>
      <c r="F9" s="114" t="s">
        <v>75</v>
      </c>
      <c r="G9" s="114" t="s">
        <v>76</v>
      </c>
      <c r="H9" s="112"/>
      <c r="I9" s="113" t="s">
        <v>77</v>
      </c>
      <c r="J9" s="106" t="s">
        <v>13</v>
      </c>
      <c r="K9" s="136" t="s">
        <v>14</v>
      </c>
      <c r="L9" s="133" t="s">
        <v>15</v>
      </c>
      <c r="M9" s="107" t="s">
        <v>78</v>
      </c>
      <c r="N9" s="129" t="s">
        <v>79</v>
      </c>
      <c r="O9" s="107" t="s">
        <v>17</v>
      </c>
      <c r="P9" s="10"/>
      <c r="Q9" s="1" t="s">
        <v>34</v>
      </c>
      <c r="R9" s="1" t="s">
        <v>33</v>
      </c>
      <c r="S9" s="1" t="s">
        <v>28</v>
      </c>
      <c r="T9" s="1" t="s">
        <v>26</v>
      </c>
      <c r="U9" s="1" t="s">
        <v>31</v>
      </c>
      <c r="V9" s="1" t="s">
        <v>30</v>
      </c>
      <c r="W9" s="1" t="s">
        <v>29</v>
      </c>
      <c r="X9" s="1" t="s">
        <v>32</v>
      </c>
      <c r="Y9" s="1" t="s">
        <v>35</v>
      </c>
      <c r="Z9" s="1" t="s">
        <v>36</v>
      </c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</row>
    <row r="10" spans="1:41" ht="28.5" customHeight="1">
      <c r="A10" s="105"/>
      <c r="B10" s="105"/>
      <c r="C10" s="105"/>
      <c r="D10" s="105"/>
      <c r="E10" s="105"/>
      <c r="F10" s="122">
        <v>1</v>
      </c>
      <c r="G10" s="116">
        <f>IF(SUM(Q10:AI10)&lt;=0,"0",(SMALL(Q10:AI10, COUNTIF(Q10:AI10, "&lt;=0") + 1)))</f>
        <v>1899</v>
      </c>
      <c r="H10" s="122"/>
      <c r="I10" s="126">
        <f>(((G10-H10))*$O$1)*F10</f>
        <v>6570.54</v>
      </c>
      <c r="J10" s="123"/>
      <c r="K10" s="137">
        <v>67</v>
      </c>
      <c r="L10" s="128">
        <f>IF(AND(G10&gt;0,G10&lt;50),(I10*1.2), IF(AND(G10&gt;=50,G10&lt;=99),(I10*1.13), IF(AND(G10&gt;=100,G10&lt;=299),(I10*1.1), IF(AND(G10&gt;=300,G10&lt;=599),(I10*1.08), IF(AND(G10&gt;=600,G10&lt;=999),(I10*1.073), IF(AND(G10&gt;=1000,G10&lt;=1499),(I10*1.067), IF(AND(G10&gt;=1500,G10&lt;=1999),(I10*1.063), IF(AND(G10&gt;=2000,G10&lt;=2499),(I10*1.058), IF((G10&gt;=2500),(I10*1.05), 0)))))))))</f>
        <v>6984.4840199999999</v>
      </c>
      <c r="M10" s="124">
        <f>(L10*1.01)</f>
        <v>7054.3288602000002</v>
      </c>
      <c r="N10" s="285">
        <f>(L10+M10)/2</f>
        <v>7019.4064400999996</v>
      </c>
      <c r="O10" s="125"/>
      <c r="P10" s="127"/>
      <c r="Q10" s="128">
        <v>1899</v>
      </c>
      <c r="R10" s="393" t="s">
        <v>81</v>
      </c>
      <c r="S10" s="394"/>
      <c r="T10" s="394"/>
      <c r="U10" s="394"/>
      <c r="V10" s="394"/>
      <c r="W10" s="394"/>
      <c r="X10" s="394"/>
      <c r="Y10" s="394"/>
      <c r="Z10" s="394"/>
      <c r="AA10" s="394"/>
      <c r="AB10" s="395"/>
      <c r="AC10" s="67"/>
      <c r="AD10" s="67"/>
      <c r="AE10" s="67"/>
      <c r="AF10" s="67"/>
      <c r="AG10" s="67"/>
      <c r="AH10" s="67"/>
      <c r="AI10" s="67"/>
      <c r="AJ10" s="67"/>
      <c r="AK10" s="67"/>
      <c r="AL10" s="67"/>
    </row>
    <row r="11" spans="1:41" ht="30.75" hidden="1" customHeight="1" thickBot="1">
      <c r="A11" s="403"/>
      <c r="B11" s="404"/>
      <c r="C11" s="405"/>
      <c r="D11" s="405"/>
      <c r="E11" s="405"/>
      <c r="F11" s="405"/>
      <c r="G11" s="405"/>
      <c r="H11" s="405"/>
      <c r="I11" s="406"/>
      <c r="J11" s="403"/>
      <c r="K11" s="404"/>
      <c r="L11" s="405"/>
      <c r="M11" s="405"/>
      <c r="N11" s="405"/>
      <c r="O11" s="405"/>
      <c r="P11" s="405"/>
      <c r="Q11" s="405"/>
      <c r="R11" s="406"/>
      <c r="S11" s="403"/>
      <c r="T11" s="404"/>
      <c r="U11" s="405"/>
      <c r="V11" s="405"/>
      <c r="W11" s="405"/>
      <c r="X11" s="405"/>
      <c r="Y11" s="405"/>
      <c r="Z11" s="405"/>
      <c r="AA11" s="406"/>
      <c r="AB11" s="403"/>
      <c r="AC11" s="404"/>
      <c r="AD11" s="405"/>
      <c r="AE11" s="405"/>
      <c r="AF11" s="405"/>
      <c r="AG11" s="405"/>
      <c r="AH11" s="405"/>
      <c r="AI11" s="405"/>
      <c r="AJ11" s="406"/>
      <c r="AK11" s="67"/>
      <c r="AL11" s="67"/>
    </row>
    <row r="12" spans="1:41" ht="40.5" hidden="1" customHeight="1">
      <c r="A12" s="400"/>
      <c r="B12" s="401"/>
      <c r="C12" s="401"/>
      <c r="D12" s="401"/>
      <c r="E12" s="401"/>
      <c r="F12" s="401"/>
      <c r="G12" s="401"/>
      <c r="H12" s="401"/>
      <c r="I12" s="401"/>
      <c r="J12" s="401"/>
      <c r="K12" s="401"/>
      <c r="L12" s="401"/>
      <c r="M12" s="401"/>
      <c r="N12" s="401"/>
      <c r="O12" s="402"/>
      <c r="P12" s="66"/>
      <c r="Q12" s="79"/>
      <c r="R12" s="80"/>
      <c r="S12" s="79"/>
      <c r="T12" s="80"/>
      <c r="U12" s="79"/>
      <c r="V12" s="80"/>
      <c r="W12" s="79"/>
      <c r="X12" s="80"/>
      <c r="Y12" s="79"/>
      <c r="Z12" s="80"/>
      <c r="AA12" s="79"/>
      <c r="AB12" s="80"/>
      <c r="AC12" s="79"/>
      <c r="AD12" s="80"/>
      <c r="AE12" s="79"/>
      <c r="AF12" s="80"/>
      <c r="AG12" s="79"/>
      <c r="AH12" s="80"/>
      <c r="AI12" s="79"/>
      <c r="AJ12" s="80"/>
      <c r="AK12" s="67"/>
      <c r="AL12" s="67"/>
    </row>
    <row r="13" spans="1:41" ht="23.25" customHeight="1" thickBot="1">
      <c r="A13" s="6"/>
      <c r="B13" s="6"/>
      <c r="C13" s="6"/>
      <c r="D13" s="6"/>
      <c r="E13" s="6"/>
      <c r="F13" s="114" t="s">
        <v>75</v>
      </c>
      <c r="G13" s="114" t="s">
        <v>76</v>
      </c>
      <c r="H13" s="297"/>
      <c r="I13" s="298" t="s">
        <v>77</v>
      </c>
      <c r="J13" s="299" t="s">
        <v>13</v>
      </c>
      <c r="K13" s="300" t="s">
        <v>14</v>
      </c>
      <c r="L13" s="301" t="s">
        <v>15</v>
      </c>
      <c r="M13" s="302" t="s">
        <v>78</v>
      </c>
      <c r="N13" s="303" t="s">
        <v>79</v>
      </c>
      <c r="O13" s="302" t="s">
        <v>17</v>
      </c>
    </row>
    <row r="14" spans="1:41" ht="19.5" thickBot="1">
      <c r="A14" s="420" t="s">
        <v>83</v>
      </c>
      <c r="B14" s="421"/>
      <c r="C14" s="422"/>
      <c r="D14" s="333" t="s">
        <v>84</v>
      </c>
      <c r="E14" s="334"/>
      <c r="F14" s="335">
        <v>1</v>
      </c>
      <c r="G14" s="336">
        <f>IF(SUM(Q14:AI14)&lt;=0,"0",(SMALL(Q14:AI14, COUNTIF(Q14:AI14, "&lt;=0") + 1)))</f>
        <v>6984.4840199999999</v>
      </c>
      <c r="H14" s="337">
        <f>G14*1.08</f>
        <v>7543.2427416</v>
      </c>
      <c r="I14" s="338">
        <f>(H14*0.08)+G14</f>
        <v>7587.9434393279998</v>
      </c>
      <c r="J14" s="339"/>
      <c r="K14" s="340"/>
      <c r="L14" s="341">
        <f t="shared" ref="L14:L21" si="0">(I14-G14)+G14</f>
        <v>7587.9434393279998</v>
      </c>
      <c r="M14" s="342">
        <f>(L14*1.01)</f>
        <v>7663.8228737212803</v>
      </c>
      <c r="N14" s="343">
        <f t="shared" ref="N14:N19" si="1">((L14+M14)/2)+J14</f>
        <v>7625.8831565246401</v>
      </c>
      <c r="O14" s="344"/>
      <c r="P14" s="345"/>
      <c r="Q14" s="417">
        <v>6984.4840199999999</v>
      </c>
    </row>
    <row r="15" spans="1:41" ht="18.75">
      <c r="A15" s="423"/>
      <c r="B15" s="424"/>
      <c r="C15" s="425"/>
      <c r="D15" s="333" t="s">
        <v>89</v>
      </c>
      <c r="E15" s="334"/>
      <c r="F15" s="335">
        <v>1</v>
      </c>
      <c r="G15" s="336">
        <f>IF(SUM(Q14:AI14)&lt;=0,"0",(SMALL(Q14:AI14, COUNTIF(Q14:AI14, "&lt;=0") + 1)))</f>
        <v>6984.4840199999999</v>
      </c>
      <c r="H15" s="337">
        <f>G15*1.11</f>
        <v>7752.7772622000002</v>
      </c>
      <c r="I15" s="338">
        <f>(H15*0.11)+G15</f>
        <v>7837.2895188419998</v>
      </c>
      <c r="J15" s="339"/>
      <c r="K15" s="340"/>
      <c r="L15" s="341">
        <f t="shared" ref="L15" si="2">(I15-G15)+G15</f>
        <v>7837.2895188419998</v>
      </c>
      <c r="M15" s="342">
        <f t="shared" ref="M15" si="3">(L15*1.01)</f>
        <v>7915.6624140304202</v>
      </c>
      <c r="N15" s="343">
        <f t="shared" si="1"/>
        <v>7876.47596643621</v>
      </c>
      <c r="O15" s="372"/>
      <c r="P15" s="66"/>
      <c r="Q15" s="418"/>
    </row>
    <row r="16" spans="1:41" ht="18.75">
      <c r="A16" s="423"/>
      <c r="B16" s="424"/>
      <c r="C16" s="425"/>
      <c r="D16" s="292">
        <v>0.12</v>
      </c>
      <c r="E16" s="139"/>
      <c r="F16" s="9">
        <v>1</v>
      </c>
      <c r="G16" s="56">
        <f>IF(SUM(Q14:AI14)&lt;=0,"0",(SMALL(Q14:AI14, COUNTIF(Q14:AI14, "&lt;=0") + 1)))</f>
        <v>6984.4840199999999</v>
      </c>
      <c r="H16" s="37">
        <f>G16*1.12</f>
        <v>7822.6221024000006</v>
      </c>
      <c r="I16" s="47">
        <f>(H16*0.12)+G16</f>
        <v>7923.1986722880001</v>
      </c>
      <c r="J16" s="49"/>
      <c r="K16" s="137"/>
      <c r="L16" s="294">
        <f t="shared" si="0"/>
        <v>7923.1986722880001</v>
      </c>
      <c r="M16" s="296">
        <f t="shared" ref="M16:M21" si="4">(L16*1.01)</f>
        <v>8002.4306590108799</v>
      </c>
      <c r="N16" s="130">
        <f t="shared" si="1"/>
        <v>7962.81466564944</v>
      </c>
      <c r="O16" s="288"/>
      <c r="P16" s="66"/>
      <c r="Q16" s="418"/>
    </row>
    <row r="17" spans="1:41" ht="18.75">
      <c r="A17" s="423"/>
      <c r="B17" s="424"/>
      <c r="C17" s="425"/>
      <c r="D17" s="289">
        <v>0.13</v>
      </c>
      <c r="E17" s="139"/>
      <c r="F17" s="9">
        <v>1</v>
      </c>
      <c r="G17" s="56">
        <f>IF(SUM(Q14:AI14)&lt;=0,"0",(SMALL(Q14:AI14, COUNTIF(Q14:AI14, "&lt;=0") + 1)))</f>
        <v>6984.4840199999999</v>
      </c>
      <c r="H17" s="37">
        <f>G17*1.13</f>
        <v>7892.4669425999991</v>
      </c>
      <c r="I17" s="47">
        <f>(H17*0.13)+G17</f>
        <v>8010.5047225380004</v>
      </c>
      <c r="J17" s="49"/>
      <c r="K17" s="137"/>
      <c r="L17" s="294">
        <f t="shared" si="0"/>
        <v>8010.5047225380004</v>
      </c>
      <c r="M17" s="296">
        <f t="shared" si="4"/>
        <v>8090.6097697633804</v>
      </c>
      <c r="N17" s="290">
        <f t="shared" si="1"/>
        <v>8050.5572461506908</v>
      </c>
      <c r="O17" s="288"/>
      <c r="P17" s="66"/>
      <c r="Q17" s="418"/>
      <c r="W17"/>
      <c r="X17"/>
      <c r="Y17"/>
    </row>
    <row r="18" spans="1:41" ht="18.75">
      <c r="A18" s="423"/>
      <c r="B18" s="424"/>
      <c r="C18" s="425"/>
      <c r="D18" s="292">
        <v>0.14000000000000001</v>
      </c>
      <c r="E18" s="139"/>
      <c r="F18" s="9">
        <v>1</v>
      </c>
      <c r="G18" s="56">
        <f>IF(SUM(Q14:AI14)&lt;=0,"0",(SMALL(Q14:AI14, COUNTIF(Q14:AI14, "&lt;=0") + 1)))</f>
        <v>6984.4840199999999</v>
      </c>
      <c r="H18" s="37">
        <f>G18*1.14</f>
        <v>7962.3117827999995</v>
      </c>
      <c r="I18" s="47">
        <f>(H18*0.14)+G18</f>
        <v>8099.2076695920005</v>
      </c>
      <c r="J18" s="49"/>
      <c r="K18" s="137"/>
      <c r="L18" s="294">
        <f t="shared" si="0"/>
        <v>8099.2076695920005</v>
      </c>
      <c r="M18" s="296">
        <f t="shared" si="4"/>
        <v>8180.1997462879208</v>
      </c>
      <c r="N18" s="130">
        <f t="shared" si="1"/>
        <v>8139.7037079399606</v>
      </c>
      <c r="O18" s="288"/>
      <c r="P18" s="66"/>
      <c r="Q18" s="418"/>
    </row>
    <row r="19" spans="1:41" ht="18.75">
      <c r="A19" s="423"/>
      <c r="B19" s="424"/>
      <c r="C19" s="425"/>
      <c r="D19" s="291">
        <v>0.17</v>
      </c>
      <c r="E19" s="139"/>
      <c r="F19" s="9">
        <v>1</v>
      </c>
      <c r="G19" s="56">
        <f>IF(SUM(Q14:AI14)&lt;=0,"0",(SMALL(Q14:AI14, COUNTIF(Q14:AI14, "&lt;=0") + 1)))</f>
        <v>6984.4840199999999</v>
      </c>
      <c r="H19" s="37">
        <f>G19*1.17</f>
        <v>8171.8463033999997</v>
      </c>
      <c r="I19" s="47">
        <f>(H19*0.17)+G19</f>
        <v>8373.6978915780001</v>
      </c>
      <c r="J19" s="49"/>
      <c r="K19" s="137"/>
      <c r="L19" s="294">
        <f t="shared" si="0"/>
        <v>8373.6978915780001</v>
      </c>
      <c r="M19" s="296">
        <f t="shared" si="4"/>
        <v>8457.4348704937802</v>
      </c>
      <c r="N19" s="293">
        <f t="shared" si="1"/>
        <v>8415.5663810358892</v>
      </c>
      <c r="O19" s="288"/>
      <c r="P19" s="66"/>
      <c r="Q19" s="418"/>
    </row>
    <row r="20" spans="1:41" ht="18.75">
      <c r="A20" s="423"/>
      <c r="B20" s="424"/>
      <c r="C20" s="425"/>
      <c r="D20" s="292" t="s">
        <v>90</v>
      </c>
      <c r="E20" s="139"/>
      <c r="F20" s="9">
        <v>1</v>
      </c>
      <c r="G20" s="56">
        <f>IF(SUM(Q14:AI14)&lt;=0,"0",(SMALL(Q14:AI14, COUNTIF(Q14:AI14, "&lt;=0") + 1)))</f>
        <v>6984.4840199999999</v>
      </c>
      <c r="H20" s="37">
        <f>G20*1.15</f>
        <v>8032.1566229999989</v>
      </c>
      <c r="I20" s="47">
        <f>(H20*0.15)+G20</f>
        <v>8189.3075134499995</v>
      </c>
      <c r="J20" s="49">
        <v>20</v>
      </c>
      <c r="K20" s="137"/>
      <c r="L20" s="294">
        <f t="shared" si="0"/>
        <v>8189.3075134499995</v>
      </c>
      <c r="M20" s="296">
        <f t="shared" si="4"/>
        <v>8271.2005885844992</v>
      </c>
      <c r="N20" s="130">
        <f t="shared" ref="N20:N21" si="5">((L20+M20)/2)+J20</f>
        <v>8250.2540510172494</v>
      </c>
      <c r="O20" s="288"/>
      <c r="P20" s="66"/>
      <c r="Q20" s="418"/>
      <c r="T20"/>
      <c r="U20"/>
      <c r="V20"/>
    </row>
    <row r="21" spans="1:41" ht="19.5" thickBot="1">
      <c r="A21" s="426"/>
      <c r="B21" s="427"/>
      <c r="C21" s="428"/>
      <c r="D21" s="346">
        <v>0.22</v>
      </c>
      <c r="E21" s="347"/>
      <c r="F21" s="348">
        <v>1</v>
      </c>
      <c r="G21" s="349">
        <f>IF(SUM(Q14:AI14)&lt;=0,"0",(SMALL(Q14:AI14, COUNTIF(Q14:AI14, "&lt;=0") + 1)))</f>
        <v>6984.4840199999999</v>
      </c>
      <c r="H21" s="350">
        <f>G21*1.22</f>
        <v>8521.0705043999988</v>
      </c>
      <c r="I21" s="351">
        <f>(H21*0.22)+G21</f>
        <v>8859.1195309680006</v>
      </c>
      <c r="J21" s="352"/>
      <c r="K21" s="353"/>
      <c r="L21" s="354">
        <f t="shared" si="0"/>
        <v>8859.1195309680006</v>
      </c>
      <c r="M21" s="355">
        <f t="shared" si="4"/>
        <v>8947.7107262776808</v>
      </c>
      <c r="N21" s="356">
        <f t="shared" si="5"/>
        <v>8903.4151286228407</v>
      </c>
      <c r="O21" s="357"/>
      <c r="P21" s="358"/>
      <c r="Q21" s="419"/>
      <c r="S21" s="103"/>
    </row>
    <row r="22" spans="1:41" ht="46.5" customHeight="1">
      <c r="A22" s="409" t="s">
        <v>86</v>
      </c>
      <c r="B22" s="409"/>
      <c r="C22" s="410"/>
      <c r="D22" s="359"/>
      <c r="E22" s="360"/>
      <c r="F22" s="361"/>
      <c r="G22" s="362"/>
      <c r="H22" s="363"/>
      <c r="I22" s="364"/>
      <c r="J22" s="365"/>
      <c r="K22" s="366"/>
      <c r="L22" s="367"/>
      <c r="M22" s="368"/>
      <c r="N22" s="369"/>
      <c r="O22" s="370"/>
      <c r="P22" s="66"/>
      <c r="Q22" s="371">
        <v>7</v>
      </c>
      <c r="S22" s="103"/>
    </row>
    <row r="23" spans="1:41" ht="18.75" customHeight="1">
      <c r="A23" s="411"/>
      <c r="B23" s="411"/>
      <c r="C23" s="412"/>
      <c r="D23" s="304">
        <v>0.2</v>
      </c>
      <c r="E23" s="305"/>
      <c r="F23" s="23">
        <v>1</v>
      </c>
      <c r="G23" s="306">
        <f>IF(SUM(Q23)&lt;=0,"0",(SMALL(Q23, COUNTIF(Q23, "&lt;=0") + 1)))</f>
        <v>2300</v>
      </c>
      <c r="H23" s="307">
        <f>G23*1.2</f>
        <v>2760</v>
      </c>
      <c r="I23" s="308">
        <f>(H23*0.2)+G23</f>
        <v>2852</v>
      </c>
      <c r="J23" s="309"/>
      <c r="K23" s="310"/>
      <c r="L23" s="311">
        <f t="shared" ref="L23" si="6">(I23-G23)+G23</f>
        <v>2852</v>
      </c>
      <c r="M23" s="312">
        <f t="shared" ref="M23:M29" si="7">(L23*1.01)</f>
        <v>2880.52</v>
      </c>
      <c r="N23" s="313">
        <f t="shared" ref="N23" si="8">(L23+M23)/2</f>
        <v>2866.26</v>
      </c>
      <c r="O23" s="314"/>
      <c r="P23" s="66"/>
      <c r="Q23" s="429">
        <v>2300</v>
      </c>
    </row>
    <row r="24" spans="1:41" ht="18.75" customHeight="1">
      <c r="A24" s="411"/>
      <c r="B24" s="411"/>
      <c r="C24" s="412"/>
      <c r="D24" s="138">
        <v>0.15</v>
      </c>
      <c r="E24" s="139"/>
      <c r="F24" s="9">
        <v>1</v>
      </c>
      <c r="G24" s="56">
        <f>IF(SUM(Q23)&lt;=0,"0",(SMALL(Q23, COUNTIF(Q23, "&lt;=0") + 1)))</f>
        <v>2300</v>
      </c>
      <c r="H24" s="37">
        <f>G24*1.15</f>
        <v>2645</v>
      </c>
      <c r="I24" s="47">
        <f>(H24*0.15)+G24</f>
        <v>2696.75</v>
      </c>
      <c r="J24" s="49"/>
      <c r="K24" s="137"/>
      <c r="L24" s="295">
        <f t="shared" ref="L24:L29" si="9">(I24-G24)+G24</f>
        <v>2696.75</v>
      </c>
      <c r="M24" s="296">
        <f t="shared" si="7"/>
        <v>2723.7175000000002</v>
      </c>
      <c r="N24" s="130">
        <f t="shared" ref="N24:N29" si="10">(L24+M24)/2</f>
        <v>2710.2337500000003</v>
      </c>
      <c r="O24" s="46"/>
      <c r="P24" s="66"/>
      <c r="Q24" s="429"/>
    </row>
    <row r="25" spans="1:41" ht="18.75" customHeight="1">
      <c r="A25" s="411"/>
      <c r="B25" s="411"/>
      <c r="C25" s="412"/>
      <c r="D25" s="291">
        <v>0.12</v>
      </c>
      <c r="E25" s="139"/>
      <c r="F25" s="9">
        <v>1</v>
      </c>
      <c r="G25" s="56">
        <f>IF(SUM(Q23)&lt;=0,"0",(SMALL(Q23, COUNTIF(Q23, "&lt;=0") + 1)))</f>
        <v>2300</v>
      </c>
      <c r="H25" s="37">
        <f>G25*1.12</f>
        <v>2576.0000000000005</v>
      </c>
      <c r="I25" s="47">
        <f>(H25*0.12)+G25</f>
        <v>2609.12</v>
      </c>
      <c r="J25" s="49"/>
      <c r="K25" s="137"/>
      <c r="L25" s="295">
        <f t="shared" si="9"/>
        <v>2609.12</v>
      </c>
      <c r="M25" s="296">
        <f t="shared" si="7"/>
        <v>2635.2111999999997</v>
      </c>
      <c r="N25" s="293">
        <f>(L25+M25)/2</f>
        <v>2622.1655999999998</v>
      </c>
      <c r="O25" s="46"/>
      <c r="P25" s="66"/>
      <c r="Q25" s="429"/>
      <c r="U25" s="332"/>
    </row>
    <row r="26" spans="1:41" ht="18.75" customHeight="1">
      <c r="A26" s="411"/>
      <c r="B26" s="411"/>
      <c r="C26" s="412"/>
      <c r="D26" s="138">
        <v>0.1</v>
      </c>
      <c r="E26" s="139"/>
      <c r="F26" s="9">
        <v>1</v>
      </c>
      <c r="G26" s="56">
        <f>IF(SUM(Q23)&lt;=0,"0",(SMALL(Q23, COUNTIF(Q23, "&lt;=0") + 1)))</f>
        <v>2300</v>
      </c>
      <c r="H26" s="37">
        <f>G26*1.1</f>
        <v>2530</v>
      </c>
      <c r="I26" s="47">
        <f>(H26*0.1)+G26</f>
        <v>2553</v>
      </c>
      <c r="J26" s="49"/>
      <c r="K26" s="137"/>
      <c r="L26" s="295">
        <f>(I26-G26)+G26</f>
        <v>2553</v>
      </c>
      <c r="M26" s="296">
        <f t="shared" si="7"/>
        <v>2578.5300000000002</v>
      </c>
      <c r="N26" s="130">
        <f>(L26+M26)/2</f>
        <v>2565.7650000000003</v>
      </c>
      <c r="O26" s="46"/>
      <c r="P26" s="66"/>
      <c r="Q26" s="429"/>
      <c r="V26"/>
    </row>
    <row r="27" spans="1:41" ht="18.75" customHeight="1" thickBot="1">
      <c r="A27" s="413"/>
      <c r="B27" s="413"/>
      <c r="C27" s="414"/>
      <c r="D27" s="315">
        <v>0.08</v>
      </c>
      <c r="E27" s="330"/>
      <c r="F27" s="316">
        <v>1</v>
      </c>
      <c r="G27" s="317">
        <f>IF(SUM(Q23)&lt;=0,"0",(SMALL(Q23, COUNTIF(Q23, "&lt;=0") + 1)))</f>
        <v>2300</v>
      </c>
      <c r="H27" s="318">
        <f>G27*1.08</f>
        <v>2484</v>
      </c>
      <c r="I27" s="319">
        <f>(H27*0.08)+G27</f>
        <v>2498.7199999999998</v>
      </c>
      <c r="J27" s="320"/>
      <c r="K27" s="321"/>
      <c r="L27" s="331">
        <f t="shared" si="9"/>
        <v>2498.7199999999998</v>
      </c>
      <c r="M27" s="322">
        <f t="shared" si="7"/>
        <v>2523.7071999999998</v>
      </c>
      <c r="N27" s="323">
        <f t="shared" si="10"/>
        <v>2511.2136</v>
      </c>
      <c r="O27" s="324"/>
      <c r="P27" s="325"/>
      <c r="Q27" s="430"/>
      <c r="V27"/>
      <c r="W27"/>
    </row>
    <row r="28" spans="1:41" ht="21" hidden="1">
      <c r="A28" s="407" t="s">
        <v>87</v>
      </c>
      <c r="B28" s="407"/>
      <c r="C28" s="408"/>
      <c r="D28" s="326">
        <v>0.08</v>
      </c>
      <c r="E28" s="326"/>
      <c r="F28" s="23">
        <v>1</v>
      </c>
      <c r="G28" s="306" t="str">
        <f>IF(SUM(Q28:AI28)&lt;=0,"0",(SMALL(Q28:AI28, COUNTIF(Q28:AI28, "&lt;=0") + 1)))</f>
        <v>0</v>
      </c>
      <c r="H28" s="307">
        <f>G28*1.09</f>
        <v>0</v>
      </c>
      <c r="I28" s="308">
        <f>(H28*0.09)+G28</f>
        <v>0</v>
      </c>
      <c r="J28" s="309"/>
      <c r="K28" s="310"/>
      <c r="L28" s="327">
        <f t="shared" si="9"/>
        <v>0</v>
      </c>
      <c r="M28" s="328">
        <f t="shared" si="7"/>
        <v>0</v>
      </c>
      <c r="N28" s="329">
        <f t="shared" si="10"/>
        <v>0</v>
      </c>
      <c r="O28" s="314"/>
      <c r="P28" s="66"/>
      <c r="Q28" s="141"/>
      <c r="T28"/>
      <c r="U28"/>
      <c r="V28"/>
      <c r="W28"/>
      <c r="Y28"/>
    </row>
    <row r="29" spans="1:41" ht="21" hidden="1">
      <c r="A29" s="415" t="s">
        <v>88</v>
      </c>
      <c r="B29" s="415"/>
      <c r="C29" s="416"/>
      <c r="D29" s="238">
        <v>0.08</v>
      </c>
      <c r="E29" s="238"/>
      <c r="F29" s="18">
        <v>1</v>
      </c>
      <c r="G29" s="81" t="str">
        <f>IF(SUM(Q29:AI29)&lt;=0,"0",(SMALL(Q29:AI29, COUNTIF(Q29:AI29, "&lt;=0") + 1)))</f>
        <v>0</v>
      </c>
      <c r="H29" s="239"/>
      <c r="I29" s="240">
        <f>(H29*0.09)+G29</f>
        <v>0</v>
      </c>
      <c r="J29" s="84"/>
      <c r="K29" s="241"/>
      <c r="L29" s="242">
        <f t="shared" si="9"/>
        <v>0</v>
      </c>
      <c r="M29" s="124">
        <f t="shared" si="7"/>
        <v>0</v>
      </c>
      <c r="N29" s="243">
        <f t="shared" si="10"/>
        <v>0</v>
      </c>
      <c r="O29" s="85"/>
      <c r="P29" s="66"/>
      <c r="Q29" s="142"/>
      <c r="V29"/>
      <c r="W29"/>
    </row>
    <row r="30" spans="1:41">
      <c r="A30" s="7"/>
      <c r="B30" s="7"/>
      <c r="C30" s="7"/>
      <c r="D30" s="7"/>
      <c r="E30" s="7"/>
      <c r="F30" s="7"/>
      <c r="M30" s="7"/>
      <c r="N30" s="67"/>
      <c r="O30" s="67"/>
      <c r="P30" s="236"/>
      <c r="T30"/>
      <c r="V30"/>
      <c r="W30"/>
    </row>
    <row r="31" spans="1:41">
      <c r="A31" s="7"/>
      <c r="B31" s="7"/>
      <c r="C31" s="7"/>
      <c r="D31" s="7"/>
      <c r="E31" s="7"/>
      <c r="F31" s="7"/>
      <c r="M31" s="237"/>
      <c r="N31" s="67"/>
      <c r="O31" s="67"/>
      <c r="P31" s="236"/>
      <c r="T31"/>
      <c r="V31"/>
      <c r="W31"/>
    </row>
    <row r="32" spans="1:41" s="65" customFormat="1" ht="15.75" thickBot="1">
      <c r="A32" s="7"/>
      <c r="B32" s="7"/>
      <c r="C32" s="7"/>
      <c r="D32" s="8"/>
      <c r="E32" s="8"/>
      <c r="F32" s="7"/>
      <c r="G32" s="5"/>
      <c r="H32" s="5"/>
      <c r="I32" s="5"/>
      <c r="J32" s="5"/>
      <c r="K32" s="5">
        <f>76/120</f>
        <v>0.6333333333333333</v>
      </c>
      <c r="L32" s="5">
        <f>17.3/5</f>
        <v>3.46</v>
      </c>
      <c r="M32" s="7"/>
      <c r="N32" s="67"/>
      <c r="O32" s="67"/>
      <c r="P32" s="236"/>
      <c r="Q3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65" customFormat="1">
      <c r="A33" s="7"/>
      <c r="B33" s="7"/>
      <c r="C33" s="244"/>
      <c r="D33" s="248"/>
      <c r="E33" s="249"/>
      <c r="F33" s="246"/>
      <c r="G33"/>
      <c r="H33" s="5"/>
      <c r="I33"/>
      <c r="J33"/>
      <c r="K33" s="5">
        <f>99.55/80</f>
        <v>1.244375</v>
      </c>
      <c r="L33"/>
      <c r="M33" s="7"/>
      <c r="N33" s="67"/>
      <c r="O33" s="67"/>
      <c r="P33" s="236"/>
      <c r="Q33"/>
      <c r="R33" s="5"/>
      <c r="S33"/>
      <c r="T33"/>
      <c r="U33" s="5"/>
      <c r="V33" s="233"/>
      <c r="W33" s="233"/>
      <c r="X33" s="5"/>
      <c r="Y33" s="5"/>
      <c r="Z33" s="5"/>
      <c r="AA33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s="65" customFormat="1">
      <c r="A34" s="67"/>
      <c r="B34" s="67"/>
      <c r="C34" s="245"/>
      <c r="D34" s="250"/>
      <c r="E34" s="251"/>
      <c r="F34" s="247"/>
      <c r="G34"/>
      <c r="H34" s="5"/>
      <c r="I34" s="5"/>
      <c r="J34"/>
      <c r="K34" s="5"/>
      <c r="L34" s="284"/>
      <c r="M34" s="67"/>
      <c r="N34" s="67"/>
      <c r="O34" s="67"/>
      <c r="P34" s="236"/>
      <c r="Q34" s="5"/>
      <c r="R34" s="5"/>
      <c r="S34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s="65" customFormat="1">
      <c r="A35" s="67"/>
      <c r="B35" s="67"/>
      <c r="C35" s="245"/>
      <c r="D35" s="250"/>
      <c r="E35" s="251"/>
      <c r="F35" s="247"/>
      <c r="G35"/>
      <c r="H35" s="5"/>
      <c r="I35">
        <f xml:space="preserve"> 4999/1.15</f>
        <v>4346.9565217391309</v>
      </c>
      <c r="J35"/>
      <c r="K35" s="5">
        <f>223*3</f>
        <v>669</v>
      </c>
      <c r="L35" s="233"/>
      <c r="M35" s="67"/>
      <c r="N35" s="67"/>
      <c r="O35" s="67"/>
      <c r="P35" s="236"/>
      <c r="Q35" s="5"/>
      <c r="R35" s="103">
        <f>50*6</f>
        <v>300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s="65" customFormat="1" ht="15.75" thickBot="1">
      <c r="A36" s="67"/>
      <c r="B36" s="67"/>
      <c r="C36" s="245"/>
      <c r="D36" s="252"/>
      <c r="E36" s="253"/>
      <c r="F36" s="247"/>
      <c r="G36" s="5"/>
      <c r="H36" s="5"/>
      <c r="I36" s="5">
        <f xml:space="preserve"> 4999-I35</f>
        <v>652.04347826086905</v>
      </c>
      <c r="J36" s="5"/>
      <c r="K36" s="5"/>
      <c r="L36" s="5"/>
      <c r="M36" s="67"/>
      <c r="N36" s="67"/>
      <c r="O36" s="67"/>
      <c r="P36" s="236"/>
      <c r="Q36" s="5"/>
      <c r="R36" s="103">
        <f>48*6</f>
        <v>288</v>
      </c>
      <c r="S36" s="5"/>
      <c r="T36" s="5"/>
      <c r="U36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s="65" customFormat="1" ht="15.75" thickBot="1">
      <c r="A37" s="67"/>
      <c r="B37" s="67"/>
      <c r="C37" s="67"/>
      <c r="D37" s="254"/>
      <c r="E37" s="31"/>
      <c r="F37" s="247"/>
      <c r="G37" s="5"/>
      <c r="H37" s="5"/>
      <c r="I37" s="5"/>
      <c r="J37" s="5"/>
      <c r="K37" s="5">
        <v>1000</v>
      </c>
      <c r="L37" s="5"/>
      <c r="M37" s="67"/>
      <c r="N37" s="67"/>
      <c r="O37" s="67"/>
      <c r="P37" s="236"/>
      <c r="Q37" s="5"/>
      <c r="R37" s="5"/>
      <c r="S37"/>
      <c r="T37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>
      <c r="A38" s="67"/>
      <c r="B38" s="67"/>
      <c r="C38" s="68"/>
      <c r="D38" s="67"/>
      <c r="E38" s="67"/>
      <c r="F38" s="67"/>
      <c r="I38" s="5">
        <f>980*3</f>
        <v>2940</v>
      </c>
      <c r="K38" s="5">
        <v>20</v>
      </c>
      <c r="L38" s="5">
        <f>80/6</f>
        <v>13.333333333333334</v>
      </c>
      <c r="M38" s="67">
        <f>5200*1.1</f>
        <v>5720.0000000000009</v>
      </c>
      <c r="N38" s="67"/>
      <c r="O38" s="67"/>
      <c r="P38" s="236"/>
      <c r="R38" s="103"/>
      <c r="W38"/>
    </row>
    <row r="39" spans="1:4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>
        <v>16</v>
      </c>
      <c r="L39" s="67">
        <f>13*6</f>
        <v>78</v>
      </c>
      <c r="M39" s="67"/>
      <c r="N39" s="67"/>
      <c r="O39" s="67"/>
      <c r="P39" s="236"/>
      <c r="U39"/>
    </row>
    <row r="40" spans="1:4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>
        <f>SUM(K37:K39)</f>
        <v>1036</v>
      </c>
      <c r="L40" s="67"/>
      <c r="M40" s="67"/>
      <c r="N40" s="98"/>
      <c r="O40" s="67"/>
      <c r="P40" s="236"/>
    </row>
    <row r="41" spans="1: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>
        <f>6.69/5</f>
        <v>1.3380000000000001</v>
      </c>
      <c r="L41" s="67">
        <f>32*4</f>
        <v>128</v>
      </c>
      <c r="M41" s="67"/>
      <c r="N41" s="67"/>
      <c r="O41" s="67"/>
      <c r="P41" s="236"/>
      <c r="W41" s="103"/>
    </row>
    <row r="42" spans="1:4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236"/>
    </row>
    <row r="43" spans="1:41" s="65" customForma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8"/>
      <c r="M43" s="67"/>
      <c r="N43" s="67"/>
      <c r="O43" s="68"/>
      <c r="P43" s="236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>
      <c r="S44"/>
      <c r="T44"/>
    </row>
    <row r="46" spans="1:41">
      <c r="L46" s="5">
        <f>729-21</f>
        <v>708</v>
      </c>
    </row>
    <row r="47" spans="1:41">
      <c r="L47" s="5">
        <f>L46-141</f>
        <v>567</v>
      </c>
      <c r="N47"/>
    </row>
    <row r="48" spans="1:41">
      <c r="L48" s="5">
        <f>L47/3</f>
        <v>189</v>
      </c>
      <c r="V48" s="103"/>
    </row>
    <row r="52" spans="3:24">
      <c r="X52" s="102"/>
    </row>
    <row r="56" spans="3:24" ht="15.75" thickBot="1">
      <c r="C56" s="104"/>
      <c r="I56"/>
    </row>
    <row r="57" spans="3:24" ht="15.75" thickBot="1">
      <c r="G57" s="31"/>
    </row>
    <row r="60" spans="3:24">
      <c r="T60"/>
    </row>
    <row r="61" spans="3:24">
      <c r="C61" s="104"/>
      <c r="T61"/>
    </row>
    <row r="62" spans="3:24">
      <c r="C62" s="104"/>
      <c r="T62"/>
    </row>
    <row r="63" spans="3:24">
      <c r="T63"/>
    </row>
    <row r="64" spans="3:24">
      <c r="C64" s="104"/>
    </row>
    <row r="65" spans="3:21">
      <c r="C65" s="104"/>
      <c r="L65"/>
      <c r="Q65"/>
    </row>
    <row r="66" spans="3:21">
      <c r="L66"/>
      <c r="Q66"/>
    </row>
    <row r="67" spans="3:21">
      <c r="Q67"/>
    </row>
    <row r="68" spans="3:21">
      <c r="Q68"/>
    </row>
    <row r="69" spans="3:21">
      <c r="I69"/>
      <c r="Q69"/>
      <c r="R69"/>
      <c r="U69"/>
    </row>
    <row r="70" spans="3:21">
      <c r="Q70"/>
      <c r="R70"/>
      <c r="U70"/>
    </row>
    <row r="71" spans="3:21">
      <c r="R71"/>
      <c r="U71"/>
    </row>
    <row r="72" spans="3:21">
      <c r="R72"/>
      <c r="U72"/>
    </row>
    <row r="73" spans="3:21">
      <c r="R73"/>
      <c r="U73"/>
    </row>
    <row r="76" spans="3:21">
      <c r="M76"/>
    </row>
    <row r="77" spans="3:21">
      <c r="J77"/>
      <c r="M77"/>
    </row>
    <row r="86" spans="9:23">
      <c r="I86"/>
    </row>
    <row r="87" spans="9:23">
      <c r="W87"/>
    </row>
    <row r="89" spans="9:23">
      <c r="I89"/>
      <c r="J89"/>
    </row>
    <row r="90" spans="9:23">
      <c r="J90"/>
      <c r="W90"/>
    </row>
    <row r="96" spans="9:23">
      <c r="J96"/>
      <c r="Q96"/>
    </row>
    <row r="97" spans="5:19">
      <c r="J97"/>
      <c r="Q97"/>
    </row>
    <row r="100" spans="5:19">
      <c r="J100"/>
    </row>
    <row r="103" spans="5:19">
      <c r="J103"/>
    </row>
    <row r="104" spans="5:19">
      <c r="J104"/>
    </row>
    <row r="105" spans="5:19">
      <c r="J105"/>
    </row>
    <row r="106" spans="5:19">
      <c r="J106"/>
    </row>
    <row r="107" spans="5:19">
      <c r="E107"/>
      <c r="J107"/>
    </row>
    <row r="108" spans="5:19">
      <c r="J108"/>
    </row>
    <row r="109" spans="5:19">
      <c r="J109"/>
    </row>
    <row r="110" spans="5:19">
      <c r="J110"/>
    </row>
    <row r="111" spans="5:19">
      <c r="J111"/>
      <c r="S111"/>
    </row>
    <row r="112" spans="5:19">
      <c r="J112"/>
      <c r="S112"/>
    </row>
    <row r="113" spans="10:20">
      <c r="J113"/>
      <c r="S113"/>
    </row>
    <row r="114" spans="10:20">
      <c r="J114"/>
    </row>
    <row r="115" spans="10:20">
      <c r="J115"/>
      <c r="T115"/>
    </row>
    <row r="116" spans="10:20">
      <c r="J116"/>
    </row>
    <row r="117" spans="10:20">
      <c r="J117"/>
    </row>
    <row r="118" spans="10:20">
      <c r="J118"/>
    </row>
    <row r="119" spans="10:20">
      <c r="J119"/>
    </row>
    <row r="120" spans="10:20">
      <c r="J120"/>
    </row>
    <row r="130" spans="21:21">
      <c r="U130"/>
    </row>
    <row r="1048465" spans="13:13">
      <c r="M1048465" s="5">
        <f>3123-1740</f>
        <v>1383</v>
      </c>
    </row>
    <row r="1048569" spans="12:13">
      <c r="L1048569" s="5">
        <f>3122.92-1740</f>
        <v>1382.92</v>
      </c>
      <c r="M1048569" s="5">
        <v>600</v>
      </c>
    </row>
    <row r="1048570" spans="12:13">
      <c r="L1048570" s="5">
        <f>L1048569-836</f>
        <v>546.92000000000007</v>
      </c>
      <c r="M1048570" s="5">
        <v>178</v>
      </c>
    </row>
    <row r="1048571" spans="12:13">
      <c r="M1048571" s="5">
        <f>SUM(M1048569:M1048570)</f>
        <v>778</v>
      </c>
    </row>
  </sheetData>
  <mergeCells count="25">
    <mergeCell ref="A29:C29"/>
    <mergeCell ref="A12:O12"/>
    <mergeCell ref="Q14:Q21"/>
    <mergeCell ref="A14:C21"/>
    <mergeCell ref="Q23:Q27"/>
    <mergeCell ref="A11:I11"/>
    <mergeCell ref="J11:R11"/>
    <mergeCell ref="S11:AA11"/>
    <mergeCell ref="AB11:AJ11"/>
    <mergeCell ref="A28:C28"/>
    <mergeCell ref="A22:C27"/>
    <mergeCell ref="D5:E5"/>
    <mergeCell ref="R5:AB5"/>
    <mergeCell ref="R10:AB10"/>
    <mergeCell ref="Q2:V2"/>
    <mergeCell ref="A3:AB3"/>
    <mergeCell ref="R4:AB4"/>
    <mergeCell ref="A6:O6"/>
    <mergeCell ref="A8:AB8"/>
    <mergeCell ref="A1:B1"/>
    <mergeCell ref="E1:F1"/>
    <mergeCell ref="G1:H1"/>
    <mergeCell ref="I1:J1"/>
    <mergeCell ref="A2:B2"/>
    <mergeCell ref="D2:E2"/>
  </mergeCells>
  <phoneticPr fontId="4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workbookViewId="0">
      <selection sqref="A1:K8"/>
    </sheetView>
  </sheetViews>
  <sheetFormatPr defaultColWidth="11.42578125" defaultRowHeight="15"/>
  <cols>
    <col min="1" max="1" width="23.140625" customWidth="1"/>
    <col min="2" max="2" width="13.42578125" customWidth="1"/>
    <col min="4" max="4" width="13.140625" customWidth="1"/>
    <col min="5" max="5" width="12.7109375" customWidth="1"/>
    <col min="7" max="7" width="13.140625" customWidth="1"/>
    <col min="8" max="8" width="20.140625" customWidth="1"/>
    <col min="9" max="9" width="8.140625" bestFit="1" customWidth="1"/>
  </cols>
  <sheetData>
    <row r="1" spans="1:11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s="234" t="s">
        <v>101</v>
      </c>
    </row>
    <row r="2" spans="1:11">
      <c r="A2" t="s">
        <v>102</v>
      </c>
      <c r="B2">
        <f>157*1.18</f>
        <v>185.26</v>
      </c>
      <c r="C2">
        <v>4.1100000000000003</v>
      </c>
      <c r="D2">
        <f>B2*C2</f>
        <v>761.41859999999997</v>
      </c>
      <c r="E2">
        <v>928</v>
      </c>
      <c r="F2">
        <f>E2*0.08</f>
        <v>74.239999999999995</v>
      </c>
      <c r="G2">
        <f>E2*0.01</f>
        <v>9.2799999999999994</v>
      </c>
      <c r="H2">
        <v>6</v>
      </c>
      <c r="I2">
        <v>8</v>
      </c>
      <c r="J2">
        <f>F2+G2+I2+H2</f>
        <v>97.52</v>
      </c>
      <c r="K2" s="234">
        <f>E2-(J2+D2)</f>
        <v>69.061400000000049</v>
      </c>
    </row>
    <row r="4" spans="1:11">
      <c r="A4" s="234" t="s">
        <v>103</v>
      </c>
      <c r="B4" s="234">
        <v>5</v>
      </c>
    </row>
    <row r="5" spans="1:11">
      <c r="A5" s="235" t="s">
        <v>104</v>
      </c>
      <c r="B5" s="235">
        <f>B4*K2</f>
        <v>345.30700000000024</v>
      </c>
    </row>
    <row r="6" spans="1:11">
      <c r="A6" s="235" t="s">
        <v>105</v>
      </c>
      <c r="B6" s="235">
        <f>B5*4</f>
        <v>1381.228000000001</v>
      </c>
    </row>
    <row r="8" spans="1:11">
      <c r="A8" t="s">
        <v>106</v>
      </c>
      <c r="B8">
        <f>D2*20</f>
        <v>15228.371999999999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"/>
  <dimension ref="A1:L65"/>
  <sheetViews>
    <sheetView workbookViewId="0">
      <selection activeCell="L19" sqref="L19"/>
    </sheetView>
  </sheetViews>
  <sheetFormatPr defaultColWidth="11.42578125" defaultRowHeight="15"/>
  <sheetData>
    <row r="1" spans="1:11" ht="26.25" thickBot="1">
      <c r="A1" s="225" t="s">
        <v>107</v>
      </c>
      <c r="B1" s="226">
        <v>1</v>
      </c>
      <c r="C1" s="227">
        <v>1</v>
      </c>
      <c r="D1" s="226" t="s">
        <v>108</v>
      </c>
      <c r="E1" s="228"/>
      <c r="F1" s="226"/>
      <c r="G1" s="224"/>
      <c r="H1" s="224"/>
      <c r="I1" s="224"/>
      <c r="J1" s="224"/>
      <c r="K1" s="224"/>
    </row>
    <row r="2" spans="1:11" ht="35.25" customHeight="1">
      <c r="A2" s="450"/>
      <c r="B2" s="452"/>
      <c r="C2" s="460" t="s">
        <v>109</v>
      </c>
      <c r="D2" s="454">
        <v>219363822</v>
      </c>
      <c r="E2" s="229">
        <v>44382</v>
      </c>
      <c r="F2" s="456">
        <v>44385.999305555553</v>
      </c>
      <c r="G2" s="446" t="s">
        <v>110</v>
      </c>
      <c r="H2" s="458">
        <v>879</v>
      </c>
      <c r="I2" s="446">
        <v>1</v>
      </c>
      <c r="J2" s="448">
        <v>1</v>
      </c>
      <c r="K2" s="446" t="s">
        <v>108</v>
      </c>
    </row>
    <row r="3" spans="1:11" ht="15.75" thickBot="1">
      <c r="A3" s="451"/>
      <c r="B3" s="453"/>
      <c r="C3" s="461"/>
      <c r="D3" s="455"/>
      <c r="E3" s="230">
        <v>3.3333333333333333E-2</v>
      </c>
      <c r="F3" s="457"/>
      <c r="G3" s="447"/>
      <c r="H3" s="459"/>
      <c r="I3" s="447"/>
      <c r="J3" s="449"/>
      <c r="K3" s="447"/>
    </row>
    <row r="4" spans="1:11" ht="35.25" customHeight="1">
      <c r="A4" s="450"/>
      <c r="B4" s="452"/>
      <c r="C4" s="460" t="s">
        <v>111</v>
      </c>
      <c r="D4" s="454">
        <v>277253822</v>
      </c>
      <c r="E4" s="229">
        <v>44382</v>
      </c>
      <c r="F4" s="456">
        <v>44385.999305555553</v>
      </c>
      <c r="G4" s="446" t="s">
        <v>110</v>
      </c>
      <c r="H4" s="458">
        <v>1669</v>
      </c>
      <c r="I4" s="446">
        <v>1</v>
      </c>
      <c r="J4" s="448">
        <v>1</v>
      </c>
      <c r="K4" s="446" t="s">
        <v>108</v>
      </c>
    </row>
    <row r="5" spans="1:11" ht="15.75" thickBot="1">
      <c r="A5" s="451"/>
      <c r="B5" s="453"/>
      <c r="C5" s="461"/>
      <c r="D5" s="455"/>
      <c r="E5" s="230">
        <v>0.43333333333333335</v>
      </c>
      <c r="F5" s="457"/>
      <c r="G5" s="447"/>
      <c r="H5" s="459"/>
      <c r="I5" s="447"/>
      <c r="J5" s="449"/>
      <c r="K5" s="447"/>
    </row>
    <row r="6" spans="1:11" ht="35.25" customHeight="1">
      <c r="A6" s="450"/>
      <c r="B6" s="452"/>
      <c r="C6" s="460" t="s">
        <v>112</v>
      </c>
      <c r="D6" s="454">
        <v>224353822</v>
      </c>
      <c r="E6" s="229">
        <v>44382</v>
      </c>
      <c r="F6" s="456">
        <v>44385.999305555553</v>
      </c>
      <c r="G6" s="446" t="s">
        <v>110</v>
      </c>
      <c r="H6" s="458">
        <v>879</v>
      </c>
      <c r="I6" s="446">
        <v>1</v>
      </c>
      <c r="J6" s="448">
        <v>1</v>
      </c>
      <c r="K6" s="446" t="s">
        <v>108</v>
      </c>
    </row>
    <row r="7" spans="1:11" ht="15.75" thickBot="1">
      <c r="A7" s="451"/>
      <c r="B7" s="453"/>
      <c r="C7" s="461"/>
      <c r="D7" s="455"/>
      <c r="E7" s="230">
        <v>0.46527777777777773</v>
      </c>
      <c r="F7" s="457"/>
      <c r="G7" s="447"/>
      <c r="H7" s="459"/>
      <c r="I7" s="447"/>
      <c r="J7" s="449"/>
      <c r="K7" s="447"/>
    </row>
    <row r="8" spans="1:11" ht="35.25" customHeight="1">
      <c r="A8" s="450"/>
      <c r="B8" s="452"/>
      <c r="C8" s="460" t="s">
        <v>113</v>
      </c>
      <c r="D8" s="454">
        <v>215844722</v>
      </c>
      <c r="E8" s="229">
        <v>44382</v>
      </c>
      <c r="F8" s="456">
        <v>44385.999305555553</v>
      </c>
      <c r="G8" s="446" t="s">
        <v>114</v>
      </c>
      <c r="H8" s="458">
        <v>879</v>
      </c>
      <c r="I8" s="446">
        <v>1</v>
      </c>
      <c r="J8" s="448">
        <v>1</v>
      </c>
      <c r="K8" s="446" t="s">
        <v>108</v>
      </c>
    </row>
    <row r="9" spans="1:11" ht="15.75" thickBot="1">
      <c r="A9" s="451"/>
      <c r="B9" s="453"/>
      <c r="C9" s="461"/>
      <c r="D9" s="455"/>
      <c r="E9" s="230">
        <v>0.58958333333333335</v>
      </c>
      <c r="F9" s="457"/>
      <c r="G9" s="447"/>
      <c r="H9" s="459"/>
      <c r="I9" s="447"/>
      <c r="J9" s="449"/>
      <c r="K9" s="447"/>
    </row>
    <row r="10" spans="1:11" ht="35.25" customHeight="1">
      <c r="A10" s="450"/>
      <c r="B10" s="452"/>
      <c r="C10" s="460" t="s">
        <v>115</v>
      </c>
      <c r="D10" s="454">
        <v>284733822</v>
      </c>
      <c r="E10" s="229">
        <v>44382</v>
      </c>
      <c r="F10" s="456">
        <v>44385.999305555553</v>
      </c>
      <c r="G10" s="446" t="s">
        <v>116</v>
      </c>
      <c r="H10" s="458">
        <v>1669</v>
      </c>
      <c r="I10" s="446">
        <v>1</v>
      </c>
      <c r="J10" s="448">
        <v>1</v>
      </c>
      <c r="K10" s="446" t="s">
        <v>108</v>
      </c>
    </row>
    <row r="11" spans="1:11" ht="15.75" thickBot="1">
      <c r="A11" s="451"/>
      <c r="B11" s="453"/>
      <c r="C11" s="461"/>
      <c r="D11" s="455"/>
      <c r="E11" s="230">
        <v>0.59375</v>
      </c>
      <c r="F11" s="457"/>
      <c r="G11" s="447"/>
      <c r="H11" s="459"/>
      <c r="I11" s="447"/>
      <c r="J11" s="449"/>
      <c r="K11" s="447"/>
    </row>
    <row r="12" spans="1:11" ht="22.5" customHeight="1">
      <c r="A12" s="450"/>
      <c r="B12" s="452"/>
      <c r="C12" s="460" t="s">
        <v>117</v>
      </c>
      <c r="D12" s="454">
        <v>251464722</v>
      </c>
      <c r="E12" s="229">
        <v>44382</v>
      </c>
      <c r="F12" s="456">
        <v>44385.999305555553</v>
      </c>
      <c r="G12" s="446" t="s">
        <v>114</v>
      </c>
      <c r="H12" s="458">
        <v>921</v>
      </c>
      <c r="I12" s="446">
        <v>1</v>
      </c>
      <c r="J12" s="448">
        <v>1</v>
      </c>
      <c r="K12" s="446" t="s">
        <v>108</v>
      </c>
    </row>
    <row r="13" spans="1:11" ht="15.75" thickBot="1">
      <c r="A13" s="451"/>
      <c r="B13" s="453"/>
      <c r="C13" s="461"/>
      <c r="D13" s="455"/>
      <c r="E13" s="230">
        <v>0.65833333333333333</v>
      </c>
      <c r="F13" s="457"/>
      <c r="G13" s="447"/>
      <c r="H13" s="459"/>
      <c r="I13" s="447"/>
      <c r="J13" s="449"/>
      <c r="K13" s="447"/>
    </row>
    <row r="14" spans="1:11" ht="22.5" customHeight="1">
      <c r="A14" s="450"/>
      <c r="B14" s="452"/>
      <c r="C14" s="460" t="s">
        <v>118</v>
      </c>
      <c r="D14" s="454">
        <v>269494722</v>
      </c>
      <c r="E14" s="229">
        <v>44382</v>
      </c>
      <c r="F14" s="456">
        <v>44385.999305555553</v>
      </c>
      <c r="G14" s="446" t="s">
        <v>114</v>
      </c>
      <c r="H14" s="458">
        <v>879</v>
      </c>
      <c r="I14" s="446">
        <v>1</v>
      </c>
      <c r="J14" s="448">
        <v>1</v>
      </c>
      <c r="K14" s="446" t="s">
        <v>108</v>
      </c>
    </row>
    <row r="15" spans="1:11" ht="15.75" thickBot="1">
      <c r="A15" s="451"/>
      <c r="B15" s="453"/>
      <c r="C15" s="461"/>
      <c r="D15" s="455"/>
      <c r="E15" s="230">
        <v>0.70277777777777783</v>
      </c>
      <c r="F15" s="457"/>
      <c r="G15" s="447"/>
      <c r="H15" s="459"/>
      <c r="I15" s="447"/>
      <c r="J15" s="449"/>
      <c r="K15" s="447"/>
    </row>
    <row r="16" spans="1:11" ht="35.25" customHeight="1">
      <c r="A16" s="450"/>
      <c r="B16" s="452"/>
      <c r="C16" s="460" t="s">
        <v>119</v>
      </c>
      <c r="D16" s="454">
        <v>252384722</v>
      </c>
      <c r="E16" s="229">
        <v>44382</v>
      </c>
      <c r="F16" s="456">
        <v>44385.999305555553</v>
      </c>
      <c r="G16" s="446" t="s">
        <v>114</v>
      </c>
      <c r="H16" s="458">
        <v>1.669</v>
      </c>
      <c r="I16" s="446">
        <v>1</v>
      </c>
      <c r="J16" s="448">
        <v>1</v>
      </c>
      <c r="K16" s="446" t="s">
        <v>108</v>
      </c>
    </row>
    <row r="17" spans="1:12" ht="15.75" thickBot="1">
      <c r="A17" s="451"/>
      <c r="B17" s="453"/>
      <c r="C17" s="461"/>
      <c r="D17" s="455"/>
      <c r="E17" s="230">
        <v>0.81111111111111101</v>
      </c>
      <c r="F17" s="457"/>
      <c r="G17" s="447"/>
      <c r="H17" s="459"/>
      <c r="I17" s="447"/>
      <c r="J17" s="449"/>
      <c r="K17" s="447"/>
    </row>
    <row r="18" spans="1:12" ht="22.5" customHeight="1">
      <c r="A18" s="450"/>
      <c r="B18" s="452"/>
      <c r="C18" s="460" t="s">
        <v>120</v>
      </c>
      <c r="D18" s="454">
        <v>286254722</v>
      </c>
      <c r="E18" s="229">
        <v>44382</v>
      </c>
      <c r="F18" s="456">
        <v>44385.999305555553</v>
      </c>
      <c r="G18" s="446" t="s">
        <v>114</v>
      </c>
      <c r="H18" s="458">
        <v>921</v>
      </c>
      <c r="I18" s="446">
        <v>1</v>
      </c>
      <c r="J18" s="448">
        <v>1</v>
      </c>
      <c r="K18" s="446" t="s">
        <v>108</v>
      </c>
      <c r="L18">
        <f>1039*1.07</f>
        <v>1111.73</v>
      </c>
    </row>
    <row r="19" spans="1:12" ht="15.75" thickBot="1">
      <c r="A19" s="451"/>
      <c r="B19" s="453"/>
      <c r="C19" s="461"/>
      <c r="D19" s="455"/>
      <c r="E19" s="230">
        <v>0.87013888888888891</v>
      </c>
      <c r="F19" s="457"/>
      <c r="G19" s="447"/>
      <c r="H19" s="459"/>
      <c r="I19" s="447"/>
      <c r="J19" s="449"/>
      <c r="K19" s="447"/>
    </row>
    <row r="20" spans="1:12" ht="35.25" customHeight="1">
      <c r="A20" s="450"/>
      <c r="B20" s="452"/>
      <c r="C20" s="460" t="s">
        <v>121</v>
      </c>
      <c r="D20" s="454">
        <v>268834722</v>
      </c>
      <c r="E20" s="229">
        <v>44382</v>
      </c>
      <c r="F20" s="456">
        <v>44385.999305555553</v>
      </c>
      <c r="G20" s="446" t="s">
        <v>114</v>
      </c>
      <c r="H20" s="458">
        <v>265</v>
      </c>
      <c r="I20" s="446">
        <v>1</v>
      </c>
      <c r="J20" s="448">
        <v>1</v>
      </c>
      <c r="K20" s="446" t="s">
        <v>108</v>
      </c>
    </row>
    <row r="21" spans="1:12" ht="15.75" thickBot="1">
      <c r="A21" s="451"/>
      <c r="B21" s="453"/>
      <c r="C21" s="461"/>
      <c r="D21" s="455"/>
      <c r="E21" s="230">
        <v>0.95000000000000007</v>
      </c>
      <c r="F21" s="457"/>
      <c r="G21" s="447"/>
      <c r="H21" s="459"/>
      <c r="I21" s="447"/>
      <c r="J21" s="449"/>
      <c r="K21" s="447"/>
    </row>
    <row r="22" spans="1:12" ht="35.25" customHeight="1">
      <c r="A22" s="450"/>
      <c r="B22" s="452"/>
      <c r="C22" s="460" t="s">
        <v>122</v>
      </c>
      <c r="D22" s="454">
        <v>273366722</v>
      </c>
      <c r="E22" s="229">
        <v>44383</v>
      </c>
      <c r="F22" s="456">
        <v>44385.999305555553</v>
      </c>
      <c r="G22" s="446" t="s">
        <v>116</v>
      </c>
      <c r="H22" s="458">
        <v>1.841</v>
      </c>
      <c r="I22" s="446">
        <v>1</v>
      </c>
      <c r="J22" s="448">
        <v>1</v>
      </c>
      <c r="K22" s="446" t="s">
        <v>108</v>
      </c>
    </row>
    <row r="23" spans="1:12" ht="15.75" thickBot="1">
      <c r="A23" s="451"/>
      <c r="B23" s="453"/>
      <c r="C23" s="461"/>
      <c r="D23" s="455"/>
      <c r="E23" s="230">
        <v>0.88124999999999998</v>
      </c>
      <c r="F23" s="457"/>
      <c r="G23" s="447"/>
      <c r="H23" s="459"/>
      <c r="I23" s="447"/>
      <c r="J23" s="449"/>
      <c r="K23" s="447"/>
    </row>
    <row r="24" spans="1:12" ht="35.25" customHeight="1">
      <c r="A24" s="450"/>
      <c r="B24" s="452"/>
      <c r="C24" s="460" t="s">
        <v>123</v>
      </c>
      <c r="D24" s="454">
        <v>218722722</v>
      </c>
      <c r="E24" s="229">
        <v>44383</v>
      </c>
      <c r="F24" s="456">
        <v>44386.999305555553</v>
      </c>
      <c r="G24" s="446" t="s">
        <v>114</v>
      </c>
      <c r="H24" s="458">
        <v>1.53</v>
      </c>
      <c r="I24" s="446">
        <v>1</v>
      </c>
      <c r="J24" s="448">
        <v>1</v>
      </c>
      <c r="K24" s="446" t="s">
        <v>108</v>
      </c>
    </row>
    <row r="25" spans="1:12" ht="15.75" thickBot="1">
      <c r="A25" s="451"/>
      <c r="B25" s="453"/>
      <c r="C25" s="461"/>
      <c r="D25" s="455"/>
      <c r="E25" s="230">
        <v>0.19166666666666665</v>
      </c>
      <c r="F25" s="457"/>
      <c r="G25" s="447"/>
      <c r="H25" s="459"/>
      <c r="I25" s="447"/>
      <c r="J25" s="449"/>
      <c r="K25" s="447"/>
    </row>
    <row r="26" spans="1:12" ht="35.25" customHeight="1">
      <c r="A26" s="450"/>
      <c r="B26" s="452"/>
      <c r="C26" s="460" t="s">
        <v>124</v>
      </c>
      <c r="D26" s="454">
        <v>265442722</v>
      </c>
      <c r="E26" s="229">
        <v>44383</v>
      </c>
      <c r="F26" s="456">
        <v>44386.999305555553</v>
      </c>
      <c r="G26" s="446" t="s">
        <v>114</v>
      </c>
      <c r="H26" s="458">
        <v>197</v>
      </c>
      <c r="I26" s="446">
        <v>1</v>
      </c>
      <c r="J26" s="448">
        <v>1</v>
      </c>
      <c r="K26" s="446" t="s">
        <v>108</v>
      </c>
    </row>
    <row r="27" spans="1:12" ht="15.75" thickBot="1">
      <c r="A27" s="451"/>
      <c r="B27" s="453"/>
      <c r="C27" s="461"/>
      <c r="D27" s="455"/>
      <c r="E27" s="230">
        <v>0.33055555555555555</v>
      </c>
      <c r="F27" s="457"/>
      <c r="G27" s="447"/>
      <c r="H27" s="459"/>
      <c r="I27" s="447"/>
      <c r="J27" s="449"/>
      <c r="K27" s="447"/>
    </row>
    <row r="28" spans="1:12" ht="22.5" customHeight="1">
      <c r="A28" s="450"/>
      <c r="B28" s="452"/>
      <c r="C28" s="460" t="s">
        <v>125</v>
      </c>
      <c r="D28" s="454">
        <v>284762722</v>
      </c>
      <c r="E28" s="229">
        <v>44383</v>
      </c>
      <c r="F28" s="456">
        <v>44386.999305555553</v>
      </c>
      <c r="G28" s="446" t="s">
        <v>114</v>
      </c>
      <c r="H28" s="458">
        <v>921</v>
      </c>
      <c r="I28" s="446">
        <v>1</v>
      </c>
      <c r="J28" s="448">
        <v>1</v>
      </c>
      <c r="K28" s="446" t="s">
        <v>108</v>
      </c>
    </row>
    <row r="29" spans="1:12" ht="15.75" thickBot="1">
      <c r="A29" s="451"/>
      <c r="B29" s="453"/>
      <c r="C29" s="461"/>
      <c r="D29" s="455"/>
      <c r="E29" s="230">
        <v>0.39444444444444443</v>
      </c>
      <c r="F29" s="457"/>
      <c r="G29" s="447"/>
      <c r="H29" s="459"/>
      <c r="I29" s="447"/>
      <c r="J29" s="449"/>
      <c r="K29" s="447"/>
    </row>
    <row r="30" spans="1:12" ht="22.5" customHeight="1">
      <c r="A30" s="464"/>
      <c r="B30" s="466"/>
      <c r="C30" s="468" t="s">
        <v>126</v>
      </c>
      <c r="D30" s="470">
        <v>266692722</v>
      </c>
      <c r="E30" s="231">
        <v>44383</v>
      </c>
      <c r="F30" s="472">
        <v>44386.999305555553</v>
      </c>
      <c r="G30" s="462" t="s">
        <v>114</v>
      </c>
      <c r="H30" s="474">
        <v>610</v>
      </c>
      <c r="I30" s="462">
        <v>1</v>
      </c>
      <c r="J30" s="476">
        <v>1</v>
      </c>
      <c r="K30" s="462" t="s">
        <v>108</v>
      </c>
    </row>
    <row r="31" spans="1:12" ht="15.75" thickBot="1">
      <c r="A31" s="465"/>
      <c r="B31" s="467"/>
      <c r="C31" s="469"/>
      <c r="D31" s="471"/>
      <c r="E31" s="232">
        <v>0.44722222222222219</v>
      </c>
      <c r="F31" s="473"/>
      <c r="G31" s="463"/>
      <c r="H31" s="475"/>
      <c r="I31" s="463"/>
      <c r="J31" s="477"/>
      <c r="K31" s="463"/>
    </row>
    <row r="32" spans="1:12" ht="35.25" customHeight="1">
      <c r="A32" s="450"/>
      <c r="B32" s="452"/>
      <c r="C32" s="460" t="s">
        <v>127</v>
      </c>
      <c r="D32" s="454">
        <v>238282722</v>
      </c>
      <c r="E32" s="229">
        <v>44383</v>
      </c>
      <c r="F32" s="456">
        <v>44386.999305555553</v>
      </c>
      <c r="G32" s="446" t="s">
        <v>116</v>
      </c>
      <c r="H32" s="458">
        <v>292</v>
      </c>
      <c r="I32" s="446">
        <v>1</v>
      </c>
      <c r="J32" s="448">
        <v>1</v>
      </c>
      <c r="K32" s="446" t="s">
        <v>108</v>
      </c>
    </row>
    <row r="33" spans="1:11" ht="15.75" thickBot="1">
      <c r="A33" s="451"/>
      <c r="B33" s="453"/>
      <c r="C33" s="461"/>
      <c r="D33" s="455"/>
      <c r="E33" s="230">
        <v>0.49236111111111108</v>
      </c>
      <c r="F33" s="457"/>
      <c r="G33" s="447"/>
      <c r="H33" s="459"/>
      <c r="I33" s="447"/>
      <c r="J33" s="449"/>
      <c r="K33" s="447"/>
    </row>
    <row r="34" spans="1:11" ht="22.5" customHeight="1">
      <c r="A34" s="450"/>
      <c r="B34" s="452"/>
      <c r="C34" s="460" t="s">
        <v>128</v>
      </c>
      <c r="D34" s="454">
        <v>216952722</v>
      </c>
      <c r="E34" s="229">
        <v>44383</v>
      </c>
      <c r="F34" s="456">
        <v>44386.999305555553</v>
      </c>
      <c r="G34" s="446" t="s">
        <v>116</v>
      </c>
      <c r="H34" s="458">
        <v>1141</v>
      </c>
      <c r="I34" s="446">
        <v>1</v>
      </c>
      <c r="J34" s="448">
        <v>1</v>
      </c>
      <c r="K34" s="446" t="s">
        <v>108</v>
      </c>
    </row>
    <row r="35" spans="1:11" ht="15.75" thickBot="1">
      <c r="A35" s="451"/>
      <c r="B35" s="453"/>
      <c r="C35" s="461"/>
      <c r="D35" s="455"/>
      <c r="E35" s="230">
        <v>0.60902777777777783</v>
      </c>
      <c r="F35" s="457"/>
      <c r="G35" s="447"/>
      <c r="H35" s="459"/>
      <c r="I35" s="447"/>
      <c r="J35" s="449"/>
      <c r="K35" s="447"/>
    </row>
    <row r="36" spans="1:11" ht="35.25" customHeight="1">
      <c r="A36" s="450"/>
      <c r="B36" s="452"/>
      <c r="C36" s="460" t="s">
        <v>129</v>
      </c>
      <c r="D36" s="454">
        <v>221246722</v>
      </c>
      <c r="E36" s="229">
        <v>44383</v>
      </c>
      <c r="F36" s="456">
        <v>44386.999305555553</v>
      </c>
      <c r="G36" s="446" t="s">
        <v>114</v>
      </c>
      <c r="H36" s="458">
        <v>879</v>
      </c>
      <c r="I36" s="446">
        <v>1</v>
      </c>
      <c r="J36" s="448">
        <v>1</v>
      </c>
      <c r="K36" s="446" t="s">
        <v>108</v>
      </c>
    </row>
    <row r="37" spans="1:11" ht="15.75" thickBot="1">
      <c r="A37" s="451"/>
      <c r="B37" s="453"/>
      <c r="C37" s="461"/>
      <c r="D37" s="455"/>
      <c r="E37" s="230">
        <v>0.82013888888888886</v>
      </c>
      <c r="F37" s="457"/>
      <c r="G37" s="447"/>
      <c r="H37" s="459"/>
      <c r="I37" s="447"/>
      <c r="J37" s="449"/>
      <c r="K37" s="447"/>
    </row>
    <row r="38" spans="1:11" ht="35.25" customHeight="1">
      <c r="A38" s="450"/>
      <c r="B38" s="452"/>
      <c r="C38" s="460" t="s">
        <v>130</v>
      </c>
      <c r="D38" s="454">
        <v>241546722</v>
      </c>
      <c r="E38" s="229">
        <v>44383</v>
      </c>
      <c r="F38" s="456">
        <v>44386.999305555553</v>
      </c>
      <c r="G38" s="446" t="s">
        <v>114</v>
      </c>
      <c r="H38" s="458">
        <v>578</v>
      </c>
      <c r="I38" s="446">
        <v>1</v>
      </c>
      <c r="J38" s="448">
        <v>1</v>
      </c>
      <c r="K38" s="446" t="s">
        <v>108</v>
      </c>
    </row>
    <row r="39" spans="1:11" ht="15.75" thickBot="1">
      <c r="A39" s="451"/>
      <c r="B39" s="453"/>
      <c r="C39" s="461"/>
      <c r="D39" s="455"/>
      <c r="E39" s="230">
        <v>0.8208333333333333</v>
      </c>
      <c r="F39" s="457"/>
      <c r="G39" s="447"/>
      <c r="H39" s="459"/>
      <c r="I39" s="447"/>
      <c r="J39" s="449"/>
      <c r="K39" s="447"/>
    </row>
    <row r="40" spans="1:11" ht="35.25" customHeight="1">
      <c r="A40" s="450"/>
      <c r="B40" s="452"/>
      <c r="C40" s="460" t="s">
        <v>131</v>
      </c>
      <c r="D40" s="454">
        <v>288526722</v>
      </c>
      <c r="E40" s="229">
        <v>44383</v>
      </c>
      <c r="F40" s="456">
        <v>44386.999305555553</v>
      </c>
      <c r="G40" s="446" t="s">
        <v>114</v>
      </c>
      <c r="H40" s="458">
        <v>885</v>
      </c>
      <c r="I40" s="224"/>
      <c r="J40" s="224"/>
      <c r="K40" s="224"/>
    </row>
    <row r="41" spans="1:11" ht="15.75" thickBot="1">
      <c r="A41" s="451"/>
      <c r="B41" s="453"/>
      <c r="C41" s="461"/>
      <c r="D41" s="455"/>
      <c r="E41" s="230">
        <v>0.84236111111111101</v>
      </c>
      <c r="F41" s="457"/>
      <c r="G41" s="447"/>
      <c r="H41" s="459"/>
      <c r="I41" s="224"/>
      <c r="J41" s="224"/>
      <c r="K41" s="224"/>
    </row>
    <row r="42" spans="1:11" ht="15.75" thickBot="1"/>
    <row r="43" spans="1:11" ht="22.5" customHeight="1">
      <c r="A43" s="229">
        <v>44383</v>
      </c>
      <c r="B43" s="456">
        <v>44386.999305555553</v>
      </c>
      <c r="C43" s="446" t="s">
        <v>110</v>
      </c>
      <c r="D43" s="458" t="s">
        <v>132</v>
      </c>
      <c r="E43" s="446">
        <v>2</v>
      </c>
      <c r="F43" s="448">
        <v>0</v>
      </c>
      <c r="G43" s="446" t="s">
        <v>133</v>
      </c>
      <c r="H43" s="448">
        <v>155</v>
      </c>
      <c r="I43" s="460" t="s">
        <v>134</v>
      </c>
      <c r="J43" s="224"/>
      <c r="K43" s="224"/>
    </row>
    <row r="44" spans="1:11" ht="15.75" thickBot="1">
      <c r="A44" s="230">
        <v>0.65347222222222223</v>
      </c>
      <c r="B44" s="457"/>
      <c r="C44" s="447"/>
      <c r="D44" s="459"/>
      <c r="E44" s="447"/>
      <c r="F44" s="449"/>
      <c r="G44" s="447"/>
      <c r="H44" s="449"/>
      <c r="I44" s="461"/>
      <c r="J44" s="224"/>
      <c r="K44" s="224"/>
    </row>
    <row r="45" spans="1:11">
      <c r="A45" s="450"/>
      <c r="B45" s="452"/>
      <c r="C45" s="454" t="s">
        <v>135</v>
      </c>
      <c r="D45" s="454">
        <v>223332722</v>
      </c>
      <c r="E45" s="229">
        <v>44383</v>
      </c>
      <c r="F45" s="456">
        <v>44386.999305555553</v>
      </c>
      <c r="G45" s="446" t="s">
        <v>114</v>
      </c>
      <c r="H45" s="458">
        <v>143</v>
      </c>
      <c r="I45" s="446">
        <v>1</v>
      </c>
      <c r="J45" s="448">
        <v>0</v>
      </c>
      <c r="K45" s="446" t="s">
        <v>133</v>
      </c>
    </row>
    <row r="46" spans="1:11" ht="15.75" thickBot="1">
      <c r="A46" s="451"/>
      <c r="B46" s="453"/>
      <c r="C46" s="455"/>
      <c r="D46" s="455"/>
      <c r="E46" s="230">
        <v>0.74722222222222223</v>
      </c>
      <c r="F46" s="457"/>
      <c r="G46" s="447"/>
      <c r="H46" s="459"/>
      <c r="I46" s="447"/>
      <c r="J46" s="449"/>
      <c r="K46" s="447"/>
    </row>
    <row r="47" spans="1:11">
      <c r="A47" s="450"/>
      <c r="B47" s="452"/>
      <c r="C47" s="454" t="s">
        <v>135</v>
      </c>
      <c r="D47" s="454">
        <v>292512722</v>
      </c>
      <c r="E47" s="229">
        <v>44383</v>
      </c>
      <c r="F47" s="456">
        <v>44386.999305555553</v>
      </c>
      <c r="G47" s="446" t="s">
        <v>114</v>
      </c>
      <c r="H47" s="458">
        <v>910</v>
      </c>
      <c r="I47" s="446">
        <v>1</v>
      </c>
      <c r="J47" s="448">
        <v>0</v>
      </c>
      <c r="K47" s="446" t="s">
        <v>133</v>
      </c>
    </row>
    <row r="48" spans="1:11" ht="15.75" thickBot="1">
      <c r="A48" s="451"/>
      <c r="B48" s="453"/>
      <c r="C48" s="455"/>
      <c r="D48" s="455"/>
      <c r="E48" s="230">
        <v>0.74791666666666667</v>
      </c>
      <c r="F48" s="457"/>
      <c r="G48" s="447"/>
      <c r="H48" s="459"/>
      <c r="I48" s="447"/>
      <c r="J48" s="449"/>
      <c r="K48" s="447"/>
    </row>
    <row r="49" spans="1:11">
      <c r="A49" s="450"/>
      <c r="B49" s="452"/>
      <c r="C49" s="454" t="s">
        <v>135</v>
      </c>
      <c r="D49" s="454">
        <v>231646722</v>
      </c>
      <c r="E49" s="229">
        <v>44383</v>
      </c>
      <c r="F49" s="456">
        <v>44386.999305555553</v>
      </c>
      <c r="G49" s="446" t="s">
        <v>114</v>
      </c>
      <c r="H49" s="458">
        <v>292</v>
      </c>
      <c r="I49" s="446">
        <v>1</v>
      </c>
      <c r="J49" s="448">
        <v>0</v>
      </c>
      <c r="K49" s="446" t="s">
        <v>133</v>
      </c>
    </row>
    <row r="50" spans="1:11" ht="15.75" thickBot="1">
      <c r="A50" s="451"/>
      <c r="B50" s="453"/>
      <c r="C50" s="455"/>
      <c r="D50" s="455"/>
      <c r="E50" s="230">
        <v>0.76527777777777783</v>
      </c>
      <c r="F50" s="457"/>
      <c r="G50" s="447"/>
      <c r="H50" s="459"/>
      <c r="I50" s="447"/>
      <c r="J50" s="449"/>
      <c r="K50" s="447"/>
    </row>
    <row r="51" spans="1:11">
      <c r="A51" s="450"/>
      <c r="B51" s="452"/>
      <c r="C51" s="454" t="s">
        <v>135</v>
      </c>
      <c r="D51" s="454">
        <v>211666722</v>
      </c>
      <c r="E51" s="229">
        <v>44383</v>
      </c>
      <c r="F51" s="456">
        <v>44386.999305555553</v>
      </c>
      <c r="G51" s="446" t="s">
        <v>114</v>
      </c>
      <c r="H51" s="458">
        <v>1319</v>
      </c>
      <c r="I51" s="446">
        <v>1</v>
      </c>
      <c r="J51" s="448">
        <v>0</v>
      </c>
      <c r="K51" s="446" t="s">
        <v>133</v>
      </c>
    </row>
    <row r="52" spans="1:11" ht="15.75" thickBot="1">
      <c r="A52" s="451"/>
      <c r="B52" s="453"/>
      <c r="C52" s="455"/>
      <c r="D52" s="455"/>
      <c r="E52" s="230">
        <v>0.86597222222222225</v>
      </c>
      <c r="F52" s="457"/>
      <c r="G52" s="447"/>
      <c r="H52" s="459"/>
      <c r="I52" s="447"/>
      <c r="J52" s="449"/>
      <c r="K52" s="447"/>
    </row>
    <row r="53" spans="1:11">
      <c r="A53" s="450"/>
      <c r="B53" s="452"/>
      <c r="C53" s="454" t="s">
        <v>135</v>
      </c>
      <c r="D53" s="454">
        <v>276166722</v>
      </c>
      <c r="E53" s="229">
        <v>44383</v>
      </c>
      <c r="F53" s="456">
        <v>44386.999305555553</v>
      </c>
      <c r="G53" s="446" t="s">
        <v>114</v>
      </c>
      <c r="H53" s="458">
        <v>288</v>
      </c>
      <c r="I53" s="446">
        <v>1</v>
      </c>
      <c r="J53" s="448">
        <v>0</v>
      </c>
      <c r="K53" s="446" t="s">
        <v>133</v>
      </c>
    </row>
    <row r="54" spans="1:11" ht="15.75" thickBot="1">
      <c r="A54" s="451"/>
      <c r="B54" s="453"/>
      <c r="C54" s="455"/>
      <c r="D54" s="455"/>
      <c r="E54" s="230">
        <v>0.87638888888888899</v>
      </c>
      <c r="F54" s="457"/>
      <c r="G54" s="447"/>
      <c r="H54" s="459"/>
      <c r="I54" s="447"/>
      <c r="J54" s="449"/>
      <c r="K54" s="447"/>
    </row>
    <row r="55" spans="1:11">
      <c r="A55" s="450"/>
      <c r="B55" s="452"/>
      <c r="C55" s="454" t="s">
        <v>135</v>
      </c>
      <c r="D55" s="454">
        <v>212596722</v>
      </c>
      <c r="E55" s="229">
        <v>44383</v>
      </c>
      <c r="F55" s="456">
        <v>44386.999305555553</v>
      </c>
      <c r="G55" s="446" t="s">
        <v>114</v>
      </c>
      <c r="H55" s="458">
        <v>273</v>
      </c>
      <c r="I55" s="446">
        <v>1</v>
      </c>
      <c r="J55" s="448">
        <v>0</v>
      </c>
      <c r="K55" s="446" t="s">
        <v>133</v>
      </c>
    </row>
    <row r="56" spans="1:11" ht="15.75" thickBot="1">
      <c r="A56" s="451"/>
      <c r="B56" s="453"/>
      <c r="C56" s="455"/>
      <c r="D56" s="455"/>
      <c r="E56" s="230">
        <v>0.90347222222222223</v>
      </c>
      <c r="F56" s="457"/>
      <c r="G56" s="447"/>
      <c r="H56" s="459"/>
      <c r="I56" s="447"/>
      <c r="J56" s="449"/>
      <c r="K56" s="447"/>
    </row>
    <row r="57" spans="1:11">
      <c r="A57" s="450"/>
      <c r="B57" s="452"/>
      <c r="C57" s="454" t="s">
        <v>135</v>
      </c>
      <c r="D57" s="454">
        <v>247396722</v>
      </c>
      <c r="E57" s="229">
        <v>44383</v>
      </c>
      <c r="F57" s="456">
        <v>44386.999305555553</v>
      </c>
      <c r="G57" s="446" t="s">
        <v>114</v>
      </c>
      <c r="H57" s="458">
        <v>197</v>
      </c>
      <c r="I57" s="446">
        <v>1</v>
      </c>
      <c r="J57" s="448">
        <v>0</v>
      </c>
      <c r="K57" s="446" t="s">
        <v>133</v>
      </c>
    </row>
    <row r="58" spans="1:11" ht="15.75" thickBot="1">
      <c r="A58" s="451"/>
      <c r="B58" s="453"/>
      <c r="C58" s="455"/>
      <c r="D58" s="455"/>
      <c r="E58" s="230">
        <v>0.91180555555555554</v>
      </c>
      <c r="F58" s="457"/>
      <c r="G58" s="447"/>
      <c r="H58" s="459"/>
      <c r="I58" s="447"/>
      <c r="J58" s="449"/>
      <c r="K58" s="447"/>
    </row>
    <row r="59" spans="1:11">
      <c r="A59" s="450"/>
      <c r="B59" s="452"/>
      <c r="C59" s="454" t="s">
        <v>135</v>
      </c>
      <c r="D59" s="454">
        <v>239416722</v>
      </c>
      <c r="E59" s="229">
        <v>44384</v>
      </c>
      <c r="F59" s="456">
        <v>44387.999305555553</v>
      </c>
      <c r="G59" s="446" t="s">
        <v>110</v>
      </c>
      <c r="H59" s="458">
        <v>292</v>
      </c>
      <c r="I59" s="446">
        <v>1</v>
      </c>
      <c r="J59" s="448">
        <v>0</v>
      </c>
      <c r="K59" s="446" t="s">
        <v>133</v>
      </c>
    </row>
    <row r="60" spans="1:11" ht="15.75" thickBot="1">
      <c r="A60" s="451"/>
      <c r="B60" s="453"/>
      <c r="C60" s="455"/>
      <c r="D60" s="455"/>
      <c r="E60" s="230">
        <v>3.125E-2</v>
      </c>
      <c r="F60" s="457"/>
      <c r="G60" s="447"/>
      <c r="H60" s="459"/>
      <c r="I60" s="447"/>
      <c r="J60" s="449"/>
      <c r="K60" s="447"/>
    </row>
    <row r="61" spans="1:11">
      <c r="A61" s="450"/>
      <c r="B61" s="452"/>
      <c r="C61" s="454" t="s">
        <v>135</v>
      </c>
      <c r="D61" s="454">
        <v>238749722</v>
      </c>
      <c r="E61" s="229">
        <v>44384</v>
      </c>
      <c r="F61" s="456">
        <v>44387.999305555553</v>
      </c>
      <c r="G61" s="446" t="s">
        <v>114</v>
      </c>
      <c r="H61" s="458">
        <v>219</v>
      </c>
      <c r="I61" s="446">
        <v>1</v>
      </c>
      <c r="J61" s="448">
        <v>0</v>
      </c>
      <c r="K61" s="446" t="s">
        <v>133</v>
      </c>
    </row>
    <row r="62" spans="1:11" ht="15.75" thickBot="1">
      <c r="A62" s="451"/>
      <c r="B62" s="453"/>
      <c r="C62" s="455"/>
      <c r="D62" s="455"/>
      <c r="E62" s="230">
        <v>0.45624999999999999</v>
      </c>
      <c r="F62" s="457"/>
      <c r="G62" s="447"/>
      <c r="H62" s="459"/>
      <c r="I62" s="447"/>
      <c r="J62" s="449"/>
      <c r="K62" s="447"/>
    </row>
    <row r="63" spans="1:11">
      <c r="A63" s="450"/>
      <c r="B63" s="452"/>
      <c r="C63" s="454" t="s">
        <v>135</v>
      </c>
      <c r="D63" s="454">
        <v>254349722</v>
      </c>
      <c r="E63" s="229">
        <v>44384</v>
      </c>
      <c r="F63" s="456">
        <v>44387.999305555553</v>
      </c>
      <c r="G63" s="446" t="s">
        <v>136</v>
      </c>
      <c r="H63" s="458">
        <v>273</v>
      </c>
      <c r="I63" s="446">
        <v>1</v>
      </c>
      <c r="J63" s="448">
        <v>0</v>
      </c>
      <c r="K63" s="446" t="s">
        <v>133</v>
      </c>
    </row>
    <row r="64" spans="1:11" ht="15.75" thickBot="1">
      <c r="A64" s="451"/>
      <c r="B64" s="453"/>
      <c r="C64" s="455"/>
      <c r="D64" s="455"/>
      <c r="E64" s="230">
        <v>0.49236111111111108</v>
      </c>
      <c r="F64" s="457"/>
      <c r="G64" s="447"/>
      <c r="H64" s="459"/>
      <c r="I64" s="447"/>
      <c r="J64" s="449"/>
      <c r="K64" s="447"/>
    </row>
    <row r="65" spans="8:8">
      <c r="H65">
        <f>SUM(H2:H64)</f>
        <v>18830.04</v>
      </c>
    </row>
  </sheetData>
  <mergeCells count="305">
    <mergeCell ref="H2:H3"/>
    <mergeCell ref="I2:I3"/>
    <mergeCell ref="J2:J3"/>
    <mergeCell ref="K2:K3"/>
    <mergeCell ref="A4:A5"/>
    <mergeCell ref="B4:B5"/>
    <mergeCell ref="C4:C5"/>
    <mergeCell ref="D4:D5"/>
    <mergeCell ref="F4:F5"/>
    <mergeCell ref="G4:G5"/>
    <mergeCell ref="A2:A3"/>
    <mergeCell ref="B2:B3"/>
    <mergeCell ref="C2:C3"/>
    <mergeCell ref="D2:D3"/>
    <mergeCell ref="F2:F3"/>
    <mergeCell ref="G2:G3"/>
    <mergeCell ref="H4:H5"/>
    <mergeCell ref="I4:I5"/>
    <mergeCell ref="J4:J5"/>
    <mergeCell ref="K4:K5"/>
    <mergeCell ref="K6:K7"/>
    <mergeCell ref="A8:A9"/>
    <mergeCell ref="B8:B9"/>
    <mergeCell ref="C8:C9"/>
    <mergeCell ref="D8:D9"/>
    <mergeCell ref="F8:F9"/>
    <mergeCell ref="G8:G9"/>
    <mergeCell ref="H8:H9"/>
    <mergeCell ref="I8:I9"/>
    <mergeCell ref="J8:J9"/>
    <mergeCell ref="K8:K9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10:K11"/>
    <mergeCell ref="A12:A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A10:A11"/>
    <mergeCell ref="B10:B11"/>
    <mergeCell ref="C10:C11"/>
    <mergeCell ref="D10:D11"/>
    <mergeCell ref="F10:F11"/>
    <mergeCell ref="G10:G11"/>
    <mergeCell ref="H10:H11"/>
    <mergeCell ref="I10:I11"/>
    <mergeCell ref="J10:J11"/>
    <mergeCell ref="K14:K15"/>
    <mergeCell ref="A16:A17"/>
    <mergeCell ref="B16:B17"/>
    <mergeCell ref="C16:C17"/>
    <mergeCell ref="D16:D17"/>
    <mergeCell ref="F16:F17"/>
    <mergeCell ref="G16:G17"/>
    <mergeCell ref="H16:H17"/>
    <mergeCell ref="I16:I17"/>
    <mergeCell ref="J16:J17"/>
    <mergeCell ref="K16:K17"/>
    <mergeCell ref="A14:A15"/>
    <mergeCell ref="B14:B15"/>
    <mergeCell ref="C14:C15"/>
    <mergeCell ref="D14:D15"/>
    <mergeCell ref="F14:F15"/>
    <mergeCell ref="G14:G15"/>
    <mergeCell ref="H14:H15"/>
    <mergeCell ref="I14:I15"/>
    <mergeCell ref="J14:J15"/>
    <mergeCell ref="K18:K19"/>
    <mergeCell ref="A20:A21"/>
    <mergeCell ref="B20:B21"/>
    <mergeCell ref="C20:C21"/>
    <mergeCell ref="D20:D21"/>
    <mergeCell ref="F20:F21"/>
    <mergeCell ref="G20:G21"/>
    <mergeCell ref="H20:H21"/>
    <mergeCell ref="I20:I21"/>
    <mergeCell ref="J20:J21"/>
    <mergeCell ref="K20:K21"/>
    <mergeCell ref="A18:A19"/>
    <mergeCell ref="B18:B19"/>
    <mergeCell ref="C18:C19"/>
    <mergeCell ref="D18:D19"/>
    <mergeCell ref="F18:F19"/>
    <mergeCell ref="G18:G19"/>
    <mergeCell ref="H18:H19"/>
    <mergeCell ref="I18:I19"/>
    <mergeCell ref="J18:J19"/>
    <mergeCell ref="K22:K23"/>
    <mergeCell ref="A24:A25"/>
    <mergeCell ref="B24:B25"/>
    <mergeCell ref="C24:C25"/>
    <mergeCell ref="D24:D25"/>
    <mergeCell ref="F24:F25"/>
    <mergeCell ref="G24:G25"/>
    <mergeCell ref="H24:H25"/>
    <mergeCell ref="I24:I25"/>
    <mergeCell ref="J24:J25"/>
    <mergeCell ref="K24:K25"/>
    <mergeCell ref="A22:A23"/>
    <mergeCell ref="B22:B23"/>
    <mergeCell ref="C22:C23"/>
    <mergeCell ref="D22:D23"/>
    <mergeCell ref="F22:F23"/>
    <mergeCell ref="G22:G23"/>
    <mergeCell ref="H22:H23"/>
    <mergeCell ref="I22:I23"/>
    <mergeCell ref="J22:J23"/>
    <mergeCell ref="K26:K27"/>
    <mergeCell ref="A28:A29"/>
    <mergeCell ref="B28:B29"/>
    <mergeCell ref="C28:C29"/>
    <mergeCell ref="D28:D29"/>
    <mergeCell ref="F28:F29"/>
    <mergeCell ref="G28:G29"/>
    <mergeCell ref="H28:H29"/>
    <mergeCell ref="I28:I29"/>
    <mergeCell ref="J28:J29"/>
    <mergeCell ref="K28:K29"/>
    <mergeCell ref="A26:A27"/>
    <mergeCell ref="B26:B27"/>
    <mergeCell ref="C26:C27"/>
    <mergeCell ref="D26:D27"/>
    <mergeCell ref="F26:F27"/>
    <mergeCell ref="G26:G27"/>
    <mergeCell ref="H26:H27"/>
    <mergeCell ref="I26:I27"/>
    <mergeCell ref="J26:J27"/>
    <mergeCell ref="K30:K31"/>
    <mergeCell ref="A32:A33"/>
    <mergeCell ref="B32:B33"/>
    <mergeCell ref="C32:C33"/>
    <mergeCell ref="D32:D33"/>
    <mergeCell ref="F32:F33"/>
    <mergeCell ref="G32:G33"/>
    <mergeCell ref="H32:H33"/>
    <mergeCell ref="I32:I33"/>
    <mergeCell ref="J32:J33"/>
    <mergeCell ref="K32:K33"/>
    <mergeCell ref="A30:A31"/>
    <mergeCell ref="B30:B31"/>
    <mergeCell ref="C30:C31"/>
    <mergeCell ref="D30:D31"/>
    <mergeCell ref="F30:F31"/>
    <mergeCell ref="G30:G31"/>
    <mergeCell ref="H30:H31"/>
    <mergeCell ref="I30:I31"/>
    <mergeCell ref="J30:J31"/>
    <mergeCell ref="K34:K35"/>
    <mergeCell ref="A36:A37"/>
    <mergeCell ref="B36:B37"/>
    <mergeCell ref="C36:C37"/>
    <mergeCell ref="D36:D37"/>
    <mergeCell ref="F36:F37"/>
    <mergeCell ref="G36:G37"/>
    <mergeCell ref="H36:H37"/>
    <mergeCell ref="I36:I37"/>
    <mergeCell ref="J36:J37"/>
    <mergeCell ref="K36:K37"/>
    <mergeCell ref="A34:A35"/>
    <mergeCell ref="B34:B35"/>
    <mergeCell ref="C34:C35"/>
    <mergeCell ref="D34:D35"/>
    <mergeCell ref="F34:F35"/>
    <mergeCell ref="G34:G35"/>
    <mergeCell ref="H34:H35"/>
    <mergeCell ref="I34:I35"/>
    <mergeCell ref="J34:J35"/>
    <mergeCell ref="A38:A39"/>
    <mergeCell ref="B38:B39"/>
    <mergeCell ref="C38:C39"/>
    <mergeCell ref="D38:D39"/>
    <mergeCell ref="F38:F39"/>
    <mergeCell ref="G38:G39"/>
    <mergeCell ref="I38:I39"/>
    <mergeCell ref="J38:J39"/>
    <mergeCell ref="K38:K39"/>
    <mergeCell ref="H38:H39"/>
    <mergeCell ref="A40:A41"/>
    <mergeCell ref="B40:B41"/>
    <mergeCell ref="C40:C41"/>
    <mergeCell ref="D40:D41"/>
    <mergeCell ref="F40:F41"/>
    <mergeCell ref="G40:G41"/>
    <mergeCell ref="H40:H41"/>
    <mergeCell ref="B43:B44"/>
    <mergeCell ref="C43:C44"/>
    <mergeCell ref="D43:D44"/>
    <mergeCell ref="E43:E44"/>
    <mergeCell ref="F43:F44"/>
    <mergeCell ref="G43:G44"/>
    <mergeCell ref="H43:H44"/>
    <mergeCell ref="I43:I44"/>
    <mergeCell ref="A45:A46"/>
    <mergeCell ref="B45:B46"/>
    <mergeCell ref="C45:C46"/>
    <mergeCell ref="D45:D46"/>
    <mergeCell ref="F45:F46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F47:F48"/>
    <mergeCell ref="G47:G48"/>
    <mergeCell ref="H47:H48"/>
    <mergeCell ref="I47:I48"/>
    <mergeCell ref="J47:J48"/>
    <mergeCell ref="K47:K48"/>
    <mergeCell ref="K49:K50"/>
    <mergeCell ref="A51:A52"/>
    <mergeCell ref="B51:B52"/>
    <mergeCell ref="C51:C52"/>
    <mergeCell ref="D51:D52"/>
    <mergeCell ref="F51:F52"/>
    <mergeCell ref="G51:G52"/>
    <mergeCell ref="H51:H52"/>
    <mergeCell ref="I51:I52"/>
    <mergeCell ref="J51:J52"/>
    <mergeCell ref="K51:K52"/>
    <mergeCell ref="A49:A50"/>
    <mergeCell ref="B49:B50"/>
    <mergeCell ref="C49:C50"/>
    <mergeCell ref="D49:D50"/>
    <mergeCell ref="F49:F50"/>
    <mergeCell ref="G49:G50"/>
    <mergeCell ref="H49:H50"/>
    <mergeCell ref="I49:I50"/>
    <mergeCell ref="J49:J50"/>
    <mergeCell ref="K53:K54"/>
    <mergeCell ref="A55:A56"/>
    <mergeCell ref="B55:B56"/>
    <mergeCell ref="C55:C56"/>
    <mergeCell ref="D55:D56"/>
    <mergeCell ref="F55:F56"/>
    <mergeCell ref="G55:G56"/>
    <mergeCell ref="H55:H56"/>
    <mergeCell ref="I55:I56"/>
    <mergeCell ref="J55:J56"/>
    <mergeCell ref="K55:K56"/>
    <mergeCell ref="A53:A54"/>
    <mergeCell ref="B53:B54"/>
    <mergeCell ref="C53:C54"/>
    <mergeCell ref="D53:D54"/>
    <mergeCell ref="F53:F54"/>
    <mergeCell ref="G53:G54"/>
    <mergeCell ref="H53:H54"/>
    <mergeCell ref="I53:I54"/>
    <mergeCell ref="J53:J54"/>
    <mergeCell ref="K57:K58"/>
    <mergeCell ref="A59:A60"/>
    <mergeCell ref="B59:B60"/>
    <mergeCell ref="C59:C60"/>
    <mergeCell ref="D59:D60"/>
    <mergeCell ref="F59:F60"/>
    <mergeCell ref="G59:G60"/>
    <mergeCell ref="H59:H60"/>
    <mergeCell ref="I59:I60"/>
    <mergeCell ref="J59:J60"/>
    <mergeCell ref="K59:K60"/>
    <mergeCell ref="A57:A58"/>
    <mergeCell ref="B57:B58"/>
    <mergeCell ref="C57:C58"/>
    <mergeCell ref="D57:D58"/>
    <mergeCell ref="F57:F58"/>
    <mergeCell ref="G57:G58"/>
    <mergeCell ref="H57:H58"/>
    <mergeCell ref="I57:I58"/>
    <mergeCell ref="J57:J58"/>
    <mergeCell ref="K63:K64"/>
    <mergeCell ref="J61:J62"/>
    <mergeCell ref="K61:K62"/>
    <mergeCell ref="A63:A64"/>
    <mergeCell ref="B63:B64"/>
    <mergeCell ref="C63:C64"/>
    <mergeCell ref="D63:D64"/>
    <mergeCell ref="F63:F64"/>
    <mergeCell ref="G63:G64"/>
    <mergeCell ref="H63:H64"/>
    <mergeCell ref="I63:I64"/>
    <mergeCell ref="A61:A62"/>
    <mergeCell ref="B61:B62"/>
    <mergeCell ref="C61:C62"/>
    <mergeCell ref="D61:D62"/>
    <mergeCell ref="F61:F62"/>
    <mergeCell ref="G61:G62"/>
    <mergeCell ref="H61:H62"/>
    <mergeCell ref="I61:I62"/>
    <mergeCell ref="J63:J64"/>
  </mergeCells>
  <hyperlinks>
    <hyperlink ref="D2" r:id="rId1" display="https://sellercenter.linio.com.pe/order/index/order-detail/filteredStatus/8/id/6847564" xr:uid="{00000000-0004-0000-0500-000000000000}"/>
    <hyperlink ref="D4" r:id="rId2" display="https://sellercenter.linio.com.pe/order/index/order-detail/filteredStatus/8/id/6849181" xr:uid="{00000000-0004-0000-0500-000001000000}"/>
    <hyperlink ref="D6" r:id="rId3" display="https://sellercenter.linio.com.pe/order/index/order-detail/filteredStatus/8/id/6849542" xr:uid="{00000000-0004-0000-0500-000002000000}"/>
    <hyperlink ref="D8" r:id="rId4" display="https://sellercenter.linio.com.pe/order/index/order-detail/filteredStatus/8/id/6851021" xr:uid="{00000000-0004-0000-0500-000003000000}"/>
    <hyperlink ref="D10" r:id="rId5" display="https://sellercenter.linio.com.pe/order/index/order-detail/filteredStatus/8/id/6851074" xr:uid="{00000000-0004-0000-0500-000004000000}"/>
    <hyperlink ref="D12" r:id="rId6" display="https://sellercenter.linio.com.pe/order/index/order-detail/filteredStatus/8/id/6851804" xr:uid="{00000000-0004-0000-0500-000005000000}"/>
    <hyperlink ref="D14" r:id="rId7" display="https://sellercenter.linio.com.pe/order/index/order-detail/filteredStatus/8/id/6852313" xr:uid="{00000000-0004-0000-0500-000006000000}"/>
    <hyperlink ref="D16" r:id="rId8" display="https://sellercenter.linio.com.pe/order/index/order-detail/filteredStatus/8/id/6853295" xr:uid="{00000000-0004-0000-0500-000007000000}"/>
    <hyperlink ref="D18" r:id="rId9" display="https://sellercenter.linio.com.pe/order/index/order-detail/filteredStatus/8/id/6854158" xr:uid="{00000000-0004-0000-0500-000008000000}"/>
    <hyperlink ref="D20" r:id="rId10" display="https://sellercenter.linio.com.pe/order/index/order-detail/filteredStatus/8/id/6855437" xr:uid="{00000000-0004-0000-0500-000009000000}"/>
    <hyperlink ref="D22" r:id="rId11" display="https://sellercenter.linio.com.pe/order/index/order-detail/filteredStatus/8/id/6862702" xr:uid="{00000000-0004-0000-0500-00000A000000}"/>
    <hyperlink ref="D24" r:id="rId12" display="https://sellercenter.linio.com.pe/order/index/order-detail/filteredStatus/8/id/6856567" xr:uid="{00000000-0004-0000-0500-00000B000000}"/>
    <hyperlink ref="D26" r:id="rId13" display="https://sellercenter.linio.com.pe/order/index/order-detail/filteredStatus/8/id/6856802" xr:uid="{00000000-0004-0000-0500-00000C000000}"/>
    <hyperlink ref="D28" r:id="rId14" display="https://sellercenter.linio.com.pe/order/index/order-detail/filteredStatus/8/id/6857184" xr:uid="{00000000-0004-0000-0500-00000D000000}"/>
    <hyperlink ref="D30" r:id="rId15" display="https://sellercenter.linio.com.pe/order/index/order-detail/filteredStatus/8/id/6857646" xr:uid="{00000000-0004-0000-0500-00000E000000}"/>
    <hyperlink ref="D32" r:id="rId16" display="https://sellercenter.linio.com.pe/order/index/order-detail/filteredStatus/8/id/6858163" xr:uid="{00000000-0004-0000-0500-00000F000000}"/>
    <hyperlink ref="D34" r:id="rId17" display="https://sellercenter.linio.com.pe/order/index/order-detail/filteredStatus/8/id/6859341" xr:uid="{00000000-0004-0000-0500-000010000000}"/>
    <hyperlink ref="D36" r:id="rId18" display="https://sellercenter.linio.com.pe/order/index/order-detail/filteredStatus/8/id/6861226" xr:uid="{00000000-0004-0000-0500-000011000000}"/>
    <hyperlink ref="D38" r:id="rId19" display="https://sellercenter.linio.com.pe/order/index/order-detail/filteredStatus/8/id/6861318" xr:uid="{00000000-0004-0000-0500-000012000000}"/>
    <hyperlink ref="D40" r:id="rId20" display="https://sellercenter.linio.com.pe/order/index/order-detail/filteredStatus/8/id/6862019" xr:uid="{00000000-0004-0000-0500-000013000000}"/>
    <hyperlink ref="C45" r:id="rId21" display="https://sellercenter.linio.com.pe/order" xr:uid="{00000000-0004-0000-0500-000014000000}"/>
    <hyperlink ref="D45" r:id="rId22" display="https://sellercenter.linio.com.pe/order/index/order-detail/filteredStatus/1/id/6860863" xr:uid="{00000000-0004-0000-0500-000015000000}"/>
    <hyperlink ref="C47" r:id="rId23" display="https://sellercenter.linio.com.pe/order" xr:uid="{00000000-0004-0000-0500-000016000000}"/>
    <hyperlink ref="D47" r:id="rId24" display="https://sellercenter.linio.com.pe/order/index/order-detail/filteredStatus/1/id/6860886" xr:uid="{00000000-0004-0000-0500-000017000000}"/>
    <hyperlink ref="C49" r:id="rId25" display="https://sellercenter.linio.com.pe/order" xr:uid="{00000000-0004-0000-0500-000018000000}"/>
    <hyperlink ref="D49" r:id="rId26" display="https://sellercenter.linio.com.pe/order/index/order-detail/filteredStatus/1/id/6861085" xr:uid="{00000000-0004-0000-0500-000019000000}"/>
    <hyperlink ref="C51" r:id="rId27" display="https://sellercenter.linio.com.pe/order" xr:uid="{00000000-0004-0000-0500-00001A000000}"/>
    <hyperlink ref="D51" r:id="rId28" display="https://sellercenter.linio.com.pe/order/index/order-detail/filteredStatus/1/id/6862142" xr:uid="{00000000-0004-0000-0500-00001B000000}"/>
    <hyperlink ref="C53" r:id="rId29" display="https://sellercenter.linio.com.pe/order" xr:uid="{00000000-0004-0000-0500-00001C000000}"/>
    <hyperlink ref="D53" r:id="rId30" display="https://sellercenter.linio.com.pe/order/index/order-detail/filteredStatus/1/id/6862620" xr:uid="{00000000-0004-0000-0500-00001D000000}"/>
    <hyperlink ref="C55" r:id="rId31" display="https://sellercenter.linio.com.pe/order" xr:uid="{00000000-0004-0000-0500-00001E000000}"/>
    <hyperlink ref="D55" r:id="rId32" display="https://sellercenter.linio.com.pe/order/index/order-detail/filteredStatus/1/id/6863078" xr:uid="{00000000-0004-0000-0500-00001F000000}"/>
    <hyperlink ref="C57" r:id="rId33" display="https://sellercenter.linio.com.pe/order" xr:uid="{00000000-0004-0000-0500-000020000000}"/>
    <hyperlink ref="D57" r:id="rId34" display="https://sellercenter.linio.com.pe/order/index/order-detail/filteredStatus/1/id/6863219" xr:uid="{00000000-0004-0000-0500-000021000000}"/>
    <hyperlink ref="C59" r:id="rId35" display="https://sellercenter.linio.com.pe/order" xr:uid="{00000000-0004-0000-0500-000022000000}"/>
    <hyperlink ref="D59" r:id="rId36" display="https://sellercenter.linio.com.pe/order/index/order-detail/filteredStatus/1/id/6864818" xr:uid="{00000000-0004-0000-0500-000023000000}"/>
    <hyperlink ref="C61" r:id="rId37" display="https://sellercenter.linio.com.pe/order" xr:uid="{00000000-0004-0000-0500-000024000000}"/>
    <hyperlink ref="D61" r:id="rId38" display="https://sellercenter.linio.com.pe/order/index/order-detail/filteredStatus/1/id/6866303" xr:uid="{00000000-0004-0000-0500-000025000000}"/>
    <hyperlink ref="C63" r:id="rId39" display="https://sellercenter.linio.com.pe/order" xr:uid="{00000000-0004-0000-0500-000026000000}"/>
    <hyperlink ref="D63" r:id="rId40" display="https://sellercenter.linio.com.pe/order/index/order-detail/filteredStatus/1/id/6866711" xr:uid="{00000000-0004-0000-0500-000027000000}"/>
  </hyperlinks>
  <pageMargins left="0.7" right="0.7" top="0.75" bottom="0.75" header="0.3" footer="0.3"/>
  <pageSetup paperSize="9" orientation="portrait" horizontalDpi="300" verticalDpi="0" copies="0" r:id="rId4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K27"/>
  <sheetViews>
    <sheetView topLeftCell="A4" workbookViewId="0">
      <selection activeCell="G29" sqref="G29"/>
    </sheetView>
  </sheetViews>
  <sheetFormatPr defaultColWidth="11.42578125" defaultRowHeight="15"/>
  <cols>
    <col min="2" max="2" width="14.7109375" customWidth="1"/>
    <col min="4" max="4" width="6.28515625" customWidth="1"/>
    <col min="6" max="6" width="16" customWidth="1"/>
    <col min="8" max="8" width="6.5703125" customWidth="1"/>
  </cols>
  <sheetData>
    <row r="1" spans="1:11" ht="27" thickBot="1">
      <c r="A1" s="486" t="s">
        <v>137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</row>
    <row r="2" spans="1:11" ht="15.75" thickBot="1">
      <c r="A2" s="145" t="s">
        <v>138</v>
      </c>
      <c r="B2" s="146" t="s">
        <v>139</v>
      </c>
      <c r="C2" s="147" t="s">
        <v>140</v>
      </c>
      <c r="D2" s="148"/>
      <c r="E2" s="145" t="s">
        <v>138</v>
      </c>
      <c r="F2" s="146" t="s">
        <v>139</v>
      </c>
      <c r="G2" s="149" t="s">
        <v>140</v>
      </c>
      <c r="H2" s="148"/>
      <c r="I2" s="145" t="s">
        <v>138</v>
      </c>
      <c r="J2" s="146" t="s">
        <v>139</v>
      </c>
      <c r="K2" s="149" t="s">
        <v>140</v>
      </c>
    </row>
    <row r="3" spans="1:11" ht="23.25" thickBot="1">
      <c r="A3" s="487" t="s">
        <v>141</v>
      </c>
      <c r="B3" s="488"/>
      <c r="C3" s="160">
        <v>0.08</v>
      </c>
      <c r="D3" s="150"/>
      <c r="E3" s="489" t="s">
        <v>142</v>
      </c>
      <c r="F3" s="151" t="s">
        <v>143</v>
      </c>
      <c r="G3" s="162">
        <v>0.15</v>
      </c>
      <c r="H3" s="150"/>
      <c r="I3" s="492" t="s">
        <v>144</v>
      </c>
      <c r="J3" s="151" t="s">
        <v>145</v>
      </c>
      <c r="K3" s="166">
        <v>0.08</v>
      </c>
    </row>
    <row r="4" spans="1:11" ht="21.6" customHeight="1" thickBot="1">
      <c r="A4" s="482" t="s">
        <v>146</v>
      </c>
      <c r="B4" s="171" t="s">
        <v>147</v>
      </c>
      <c r="C4" s="168">
        <v>0.08</v>
      </c>
      <c r="D4" s="150"/>
      <c r="E4" s="490"/>
      <c r="F4" s="151" t="s">
        <v>148</v>
      </c>
      <c r="G4" s="162">
        <v>0.15</v>
      </c>
      <c r="H4" s="150"/>
      <c r="I4" s="493"/>
      <c r="J4" s="151" t="s">
        <v>149</v>
      </c>
      <c r="K4" s="162">
        <v>0.08</v>
      </c>
    </row>
    <row r="5" spans="1:11" ht="23.25" thickBot="1">
      <c r="A5" s="482"/>
      <c r="B5" s="169" t="s">
        <v>150</v>
      </c>
      <c r="C5" s="168">
        <v>0.08</v>
      </c>
      <c r="D5" s="150"/>
      <c r="E5" s="490"/>
      <c r="F5" s="151" t="s">
        <v>151</v>
      </c>
      <c r="G5" s="162">
        <v>0.15</v>
      </c>
      <c r="H5" s="150"/>
      <c r="I5" s="493"/>
      <c r="J5" s="151" t="s">
        <v>152</v>
      </c>
      <c r="K5" s="162">
        <v>0.08</v>
      </c>
    </row>
    <row r="6" spans="1:11" ht="33.75">
      <c r="A6" s="495" t="s">
        <v>153</v>
      </c>
      <c r="B6" s="170" t="s">
        <v>154</v>
      </c>
      <c r="C6" s="162">
        <v>0.15</v>
      </c>
      <c r="D6" s="152"/>
      <c r="E6" s="490"/>
      <c r="F6" s="151" t="s">
        <v>155</v>
      </c>
      <c r="G6" s="162">
        <v>0.12</v>
      </c>
      <c r="H6" s="150"/>
      <c r="I6" s="493"/>
      <c r="J6" s="151" t="s">
        <v>156</v>
      </c>
      <c r="K6" s="162">
        <v>0.15</v>
      </c>
    </row>
    <row r="7" spans="1:11" ht="21" customHeight="1" thickBot="1">
      <c r="A7" s="495"/>
      <c r="B7" s="151" t="s">
        <v>157</v>
      </c>
      <c r="C7" s="166">
        <v>0.12</v>
      </c>
      <c r="D7" s="150"/>
      <c r="E7" s="490"/>
      <c r="F7" s="153" t="s">
        <v>158</v>
      </c>
      <c r="G7" s="163">
        <v>0.15</v>
      </c>
      <c r="H7" s="152"/>
      <c r="I7" s="494"/>
      <c r="J7" s="154" t="s">
        <v>159</v>
      </c>
      <c r="K7" s="173">
        <v>0.15</v>
      </c>
    </row>
    <row r="8" spans="1:11" ht="15.75" thickBot="1">
      <c r="A8" s="495"/>
      <c r="B8" s="151" t="s">
        <v>160</v>
      </c>
      <c r="C8" s="162">
        <v>0.12</v>
      </c>
      <c r="D8" s="150"/>
      <c r="E8" s="490"/>
      <c r="F8" s="151" t="s">
        <v>161</v>
      </c>
      <c r="G8" s="162">
        <v>0.12</v>
      </c>
      <c r="H8" s="150"/>
      <c r="I8" s="497" t="s">
        <v>162</v>
      </c>
      <c r="J8" s="498"/>
      <c r="K8" s="161">
        <v>0.08</v>
      </c>
    </row>
    <row r="9" spans="1:11" ht="23.25" thickBot="1">
      <c r="A9" s="495"/>
      <c r="B9" s="151" t="s">
        <v>163</v>
      </c>
      <c r="C9" s="162">
        <v>0.12</v>
      </c>
      <c r="D9" s="150"/>
      <c r="E9" s="490"/>
      <c r="F9" s="151" t="s">
        <v>164</v>
      </c>
      <c r="G9" s="162">
        <v>0.12</v>
      </c>
      <c r="H9" s="150"/>
      <c r="I9" s="499" t="s">
        <v>165</v>
      </c>
      <c r="J9" s="500"/>
      <c r="K9" s="161">
        <v>0.08</v>
      </c>
    </row>
    <row r="10" spans="1:11" ht="23.25" thickBot="1">
      <c r="A10" s="495"/>
      <c r="B10" s="151" t="s">
        <v>166</v>
      </c>
      <c r="C10" s="162">
        <v>0.15</v>
      </c>
      <c r="D10" s="150"/>
      <c r="E10" s="490"/>
      <c r="F10" s="151" t="s">
        <v>167</v>
      </c>
      <c r="G10" s="162">
        <v>0.15</v>
      </c>
      <c r="H10" s="150"/>
      <c r="I10" s="497" t="s">
        <v>168</v>
      </c>
      <c r="J10" s="498"/>
      <c r="K10" s="161">
        <v>0.15</v>
      </c>
    </row>
    <row r="11" spans="1:11" ht="23.25" thickBot="1">
      <c r="A11" s="495"/>
      <c r="B11" s="151" t="s">
        <v>169</v>
      </c>
      <c r="C11" s="162">
        <v>0.12</v>
      </c>
      <c r="D11" s="150"/>
      <c r="E11" s="490"/>
      <c r="F11" s="151" t="s">
        <v>170</v>
      </c>
      <c r="G11" s="162">
        <v>0.15</v>
      </c>
      <c r="H11" s="150"/>
      <c r="I11" s="501" t="s">
        <v>171</v>
      </c>
      <c r="J11" s="151" t="s">
        <v>172</v>
      </c>
      <c r="K11" s="172">
        <v>0.12</v>
      </c>
    </row>
    <row r="12" spans="1:11" ht="23.25" thickBot="1">
      <c r="A12" s="495"/>
      <c r="B12" s="151" t="s">
        <v>173</v>
      </c>
      <c r="C12" s="168">
        <v>0.15</v>
      </c>
      <c r="D12" s="150"/>
      <c r="E12" s="490"/>
      <c r="F12" s="151" t="s">
        <v>174</v>
      </c>
      <c r="G12" s="162">
        <v>0.12</v>
      </c>
      <c r="H12" s="150"/>
      <c r="I12" s="495"/>
      <c r="J12" s="151" t="s">
        <v>175</v>
      </c>
      <c r="K12" s="162">
        <v>0.12</v>
      </c>
    </row>
    <row r="13" spans="1:11" ht="22.5">
      <c r="A13" s="495"/>
      <c r="B13" s="151" t="s">
        <v>176</v>
      </c>
      <c r="C13" s="162">
        <v>0.12</v>
      </c>
      <c r="D13" s="150"/>
      <c r="E13" s="490"/>
      <c r="F13" s="151" t="s">
        <v>177</v>
      </c>
      <c r="G13" s="162">
        <v>0.08</v>
      </c>
      <c r="H13" s="152"/>
      <c r="I13" s="495"/>
      <c r="J13" s="151" t="s">
        <v>178</v>
      </c>
      <c r="K13" s="162">
        <v>0.12</v>
      </c>
    </row>
    <row r="14" spans="1:11" ht="22.5">
      <c r="A14" s="495"/>
      <c r="B14" s="151" t="s">
        <v>179</v>
      </c>
      <c r="C14" s="162">
        <v>0.15</v>
      </c>
      <c r="D14" s="152"/>
      <c r="E14" s="490"/>
      <c r="F14" s="151" t="s">
        <v>180</v>
      </c>
      <c r="G14" s="162">
        <v>0.12</v>
      </c>
      <c r="H14" s="150"/>
      <c r="I14" s="495"/>
      <c r="J14" s="151" t="s">
        <v>181</v>
      </c>
      <c r="K14" s="162">
        <v>0.12</v>
      </c>
    </row>
    <row r="15" spans="1:11" ht="22.5">
      <c r="A15" s="495"/>
      <c r="B15" s="151" t="s">
        <v>182</v>
      </c>
      <c r="C15" s="162">
        <v>0.12</v>
      </c>
      <c r="D15" s="150"/>
      <c r="E15" s="490"/>
      <c r="F15" s="151" t="s">
        <v>183</v>
      </c>
      <c r="G15" s="162">
        <v>0.08</v>
      </c>
      <c r="H15" s="150"/>
      <c r="I15" s="495"/>
      <c r="J15" s="151" t="s">
        <v>184</v>
      </c>
      <c r="K15" s="162">
        <v>0.12</v>
      </c>
    </row>
    <row r="16" spans="1:11" ht="33.75">
      <c r="A16" s="495"/>
      <c r="B16" s="151" t="s">
        <v>185</v>
      </c>
      <c r="C16" s="162">
        <v>0.12</v>
      </c>
      <c r="D16" s="150"/>
      <c r="E16" s="490"/>
      <c r="F16" s="151" t="s">
        <v>186</v>
      </c>
      <c r="G16" s="162">
        <v>0.12</v>
      </c>
      <c r="H16" s="150"/>
      <c r="I16" s="495"/>
      <c r="J16" s="151" t="s">
        <v>187</v>
      </c>
      <c r="K16" s="162">
        <v>0.12</v>
      </c>
    </row>
    <row r="17" spans="1:11" ht="23.25" thickBot="1">
      <c r="A17" s="495"/>
      <c r="B17" s="151" t="s">
        <v>188</v>
      </c>
      <c r="C17" s="162">
        <v>0.12</v>
      </c>
      <c r="D17" s="150"/>
      <c r="E17" s="491"/>
      <c r="F17" s="154" t="s">
        <v>189</v>
      </c>
      <c r="G17" s="164">
        <v>0.12</v>
      </c>
      <c r="H17" s="150"/>
      <c r="I17" s="496"/>
      <c r="J17" s="154" t="s">
        <v>190</v>
      </c>
      <c r="K17" s="164">
        <v>0.08</v>
      </c>
    </row>
    <row r="18" spans="1:11" ht="22.5">
      <c r="A18" s="495"/>
      <c r="B18" s="151" t="s">
        <v>191</v>
      </c>
      <c r="C18" s="162">
        <v>0.08</v>
      </c>
      <c r="D18" s="150"/>
      <c r="E18" s="483" t="s">
        <v>192</v>
      </c>
      <c r="F18" s="151" t="s">
        <v>193</v>
      </c>
      <c r="G18" s="162">
        <v>0.15</v>
      </c>
      <c r="H18" s="150"/>
      <c r="I18" s="483" t="s">
        <v>194</v>
      </c>
      <c r="J18" s="151" t="s">
        <v>195</v>
      </c>
      <c r="K18" s="172">
        <v>0.08</v>
      </c>
    </row>
    <row r="19" spans="1:11">
      <c r="A19" s="495"/>
      <c r="B19" s="151" t="s">
        <v>196</v>
      </c>
      <c r="C19" s="162">
        <v>0.15</v>
      </c>
      <c r="D19" s="150"/>
      <c r="E19" s="484"/>
      <c r="F19" s="151" t="s">
        <v>197</v>
      </c>
      <c r="G19" s="162">
        <v>0.15</v>
      </c>
      <c r="H19" s="150"/>
      <c r="I19" s="484"/>
      <c r="J19" s="151" t="s">
        <v>198</v>
      </c>
      <c r="K19" s="162">
        <v>0.08</v>
      </c>
    </row>
    <row r="20" spans="1:11" ht="23.25" thickBot="1">
      <c r="A20" s="495"/>
      <c r="B20" s="151" t="s">
        <v>199</v>
      </c>
      <c r="C20" s="162">
        <v>0.12</v>
      </c>
      <c r="D20" s="150"/>
      <c r="E20" s="485"/>
      <c r="F20" s="154" t="s">
        <v>200</v>
      </c>
      <c r="G20" s="164">
        <v>0.15</v>
      </c>
      <c r="H20" s="150"/>
      <c r="I20" s="484"/>
      <c r="J20" s="151" t="s">
        <v>201</v>
      </c>
      <c r="K20" s="162">
        <v>0.08</v>
      </c>
    </row>
    <row r="21" spans="1:11" ht="34.5" thickBot="1">
      <c r="A21" s="495"/>
      <c r="B21" s="151" t="s">
        <v>202</v>
      </c>
      <c r="C21" s="162">
        <v>0.12</v>
      </c>
      <c r="D21" s="150"/>
      <c r="E21" s="502" t="s">
        <v>203</v>
      </c>
      <c r="F21" s="503"/>
      <c r="G21" s="164">
        <v>0.12</v>
      </c>
      <c r="H21" s="150"/>
      <c r="I21" s="484"/>
      <c r="J21" s="153" t="s">
        <v>204</v>
      </c>
      <c r="K21" s="163">
        <v>0.12</v>
      </c>
    </row>
    <row r="22" spans="1:11" ht="23.25" thickBot="1">
      <c r="A22" s="495"/>
      <c r="B22" s="153" t="s">
        <v>205</v>
      </c>
      <c r="C22" s="163">
        <v>0.15</v>
      </c>
      <c r="D22" s="150"/>
      <c r="E22" s="504" t="s">
        <v>206</v>
      </c>
      <c r="F22" s="505"/>
      <c r="G22" s="173">
        <v>0.1</v>
      </c>
      <c r="H22" s="150"/>
      <c r="I22" s="485"/>
      <c r="J22" s="154" t="s">
        <v>207</v>
      </c>
      <c r="K22" s="164">
        <v>0.12</v>
      </c>
    </row>
    <row r="23" spans="1:11" ht="34.5" thickBot="1">
      <c r="A23" s="496"/>
      <c r="B23" s="154" t="s">
        <v>208</v>
      </c>
      <c r="C23" s="164">
        <v>0.15</v>
      </c>
      <c r="D23" s="150"/>
      <c r="E23" s="506" t="s">
        <v>209</v>
      </c>
      <c r="F23" s="507"/>
      <c r="G23" s="167">
        <v>0.1</v>
      </c>
      <c r="H23" s="150"/>
      <c r="K23" s="165"/>
    </row>
    <row r="24" spans="1:11" ht="15.75" thickBot="1">
      <c r="A24" s="155"/>
      <c r="B24" s="155"/>
      <c r="C24" s="156"/>
      <c r="D24" s="150"/>
      <c r="G24" s="144"/>
      <c r="H24" s="150"/>
      <c r="K24" s="144"/>
    </row>
    <row r="25" spans="1:11" ht="15.75" thickBot="1">
      <c r="A25" s="174"/>
      <c r="B25" s="480" t="s">
        <v>210</v>
      </c>
      <c r="C25" s="481"/>
      <c r="D25" s="150"/>
      <c r="E25" s="157"/>
      <c r="F25" s="68" t="s">
        <v>211</v>
      </c>
      <c r="G25" s="158"/>
      <c r="I25" s="159"/>
      <c r="J25" s="478" t="s">
        <v>212</v>
      </c>
      <c r="K25" s="479"/>
    </row>
    <row r="26" spans="1:11">
      <c r="C26" s="143"/>
      <c r="K26" s="144"/>
    </row>
    <row r="27" spans="1:11">
      <c r="C27" s="143"/>
      <c r="K27" s="144"/>
    </row>
  </sheetData>
  <mergeCells count="17">
    <mergeCell ref="E23:F23"/>
    <mergeCell ref="J25:K25"/>
    <mergeCell ref="B25:C25"/>
    <mergeCell ref="A4:A5"/>
    <mergeCell ref="E18:E20"/>
    <mergeCell ref="A1:K1"/>
    <mergeCell ref="A3:B3"/>
    <mergeCell ref="E3:E17"/>
    <mergeCell ref="I3:I7"/>
    <mergeCell ref="A6:A23"/>
    <mergeCell ref="I8:J8"/>
    <mergeCell ref="I9:J9"/>
    <mergeCell ref="I10:J10"/>
    <mergeCell ref="I11:I17"/>
    <mergeCell ref="I18:I22"/>
    <mergeCell ref="E21:F21"/>
    <mergeCell ref="E22:F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4"/>
  <dimension ref="A1:Z113"/>
  <sheetViews>
    <sheetView workbookViewId="0">
      <selection activeCell="D3" sqref="D3"/>
    </sheetView>
  </sheetViews>
  <sheetFormatPr defaultColWidth="11.42578125" defaultRowHeight="15"/>
  <cols>
    <col min="1" max="1" width="3.140625" customWidth="1"/>
    <col min="2" max="2" width="2.85546875" bestFit="1" customWidth="1"/>
    <col min="3" max="3" width="6.28515625" bestFit="1" customWidth="1"/>
    <col min="4" max="4" width="36.7109375" customWidth="1"/>
    <col min="5" max="5" width="3.7109375" customWidth="1"/>
    <col min="6" max="6" width="6.7109375" bestFit="1" customWidth="1"/>
    <col min="7" max="7" width="2.28515625" style="144" customWidth="1"/>
    <col min="8" max="8" width="6.140625" customWidth="1"/>
    <col min="9" max="9" width="2.28515625" style="144" customWidth="1"/>
    <col min="10" max="10" width="6.140625" customWidth="1"/>
    <col min="11" max="11" width="2.28515625" style="144" customWidth="1"/>
    <col min="12" max="12" width="6.140625" customWidth="1"/>
    <col min="13" max="13" width="2.28515625" style="144" customWidth="1"/>
    <col min="14" max="14" width="6.140625" customWidth="1"/>
    <col min="15" max="15" width="2.28515625" style="144" customWidth="1"/>
    <col min="16" max="16" width="6.5703125" customWidth="1"/>
    <col min="17" max="17" width="2.28515625" style="144" customWidth="1"/>
    <col min="18" max="18" width="6.42578125" customWidth="1"/>
    <col min="19" max="19" width="2.28515625" style="144" customWidth="1"/>
    <col min="20" max="20" width="6.5703125" bestFit="1" customWidth="1"/>
    <col min="21" max="21" width="2.28515625" style="144" customWidth="1"/>
    <col min="22" max="22" width="6.5703125" bestFit="1" customWidth="1"/>
    <col min="23" max="23" width="2.28515625" style="144" customWidth="1"/>
    <col min="24" max="24" width="6.5703125" bestFit="1" customWidth="1"/>
    <col min="25" max="25" width="2.28515625" style="144" customWidth="1"/>
    <col min="26" max="26" width="6.5703125" bestFit="1" customWidth="1"/>
  </cols>
  <sheetData>
    <row r="1" spans="1:26" ht="13.9" customHeight="1" thickBot="1">
      <c r="A1" s="510" t="s">
        <v>213</v>
      </c>
      <c r="B1" s="512" t="s">
        <v>214</v>
      </c>
      <c r="C1" s="514" t="s">
        <v>215</v>
      </c>
      <c r="D1" s="516" t="s">
        <v>91</v>
      </c>
      <c r="E1" s="518" t="s">
        <v>75</v>
      </c>
      <c r="F1" s="508" t="s">
        <v>71</v>
      </c>
      <c r="G1" s="520" t="s">
        <v>216</v>
      </c>
      <c r="H1" s="521"/>
      <c r="I1" s="520"/>
      <c r="J1" s="521"/>
      <c r="K1" s="522" t="s">
        <v>217</v>
      </c>
      <c r="L1" s="523"/>
      <c r="M1" s="205"/>
      <c r="N1" s="524" t="s">
        <v>218</v>
      </c>
      <c r="O1" s="526" t="s">
        <v>219</v>
      </c>
      <c r="P1" s="526"/>
      <c r="Q1" s="526"/>
      <c r="R1" s="526"/>
      <c r="S1" s="527" t="s">
        <v>220</v>
      </c>
      <c r="T1" s="527"/>
      <c r="U1" s="527"/>
      <c r="V1" s="527"/>
      <c r="W1" s="527"/>
      <c r="X1" s="527"/>
      <c r="Y1" s="527"/>
      <c r="Z1" s="528"/>
    </row>
    <row r="2" spans="1:26" ht="24.6" customHeight="1" thickBot="1">
      <c r="A2" s="511"/>
      <c r="B2" s="513"/>
      <c r="C2" s="515"/>
      <c r="D2" s="517"/>
      <c r="E2" s="519"/>
      <c r="F2" s="509"/>
      <c r="G2" s="175" t="s">
        <v>214</v>
      </c>
      <c r="H2" s="176" t="s">
        <v>221</v>
      </c>
      <c r="I2" s="175" t="s">
        <v>214</v>
      </c>
      <c r="J2" s="177" t="s">
        <v>222</v>
      </c>
      <c r="K2" s="178" t="s">
        <v>214</v>
      </c>
      <c r="L2" s="179" t="s">
        <v>223</v>
      </c>
      <c r="M2" s="178" t="s">
        <v>214</v>
      </c>
      <c r="N2" s="525"/>
      <c r="O2" s="178" t="s">
        <v>214</v>
      </c>
      <c r="P2" s="180" t="s">
        <v>224</v>
      </c>
      <c r="Q2" s="178" t="s">
        <v>214</v>
      </c>
      <c r="R2" s="180" t="s">
        <v>225</v>
      </c>
      <c r="S2" s="178" t="s">
        <v>214</v>
      </c>
      <c r="T2" s="181">
        <v>0.08</v>
      </c>
      <c r="U2" s="178" t="s">
        <v>214</v>
      </c>
      <c r="V2" s="181">
        <v>0.1</v>
      </c>
      <c r="W2" s="178" t="s">
        <v>214</v>
      </c>
      <c r="X2" s="181">
        <v>0.12</v>
      </c>
      <c r="Y2" s="178" t="s">
        <v>214</v>
      </c>
      <c r="Z2" s="182">
        <v>0.15</v>
      </c>
    </row>
    <row r="3" spans="1:26" ht="15.75" thickBot="1">
      <c r="A3" s="217">
        <v>1</v>
      </c>
      <c r="B3" s="183">
        <v>1</v>
      </c>
      <c r="C3" s="212"/>
      <c r="D3" s="184"/>
      <c r="E3" s="185">
        <v>1</v>
      </c>
      <c r="F3" s="186">
        <v>680</v>
      </c>
      <c r="G3" s="187" t="s">
        <v>226</v>
      </c>
      <c r="H3" s="186">
        <f>F3</f>
        <v>680</v>
      </c>
      <c r="I3" s="187" t="s">
        <v>226</v>
      </c>
      <c r="J3" s="186">
        <f>F3</f>
        <v>680</v>
      </c>
      <c r="K3" s="188" t="s">
        <v>226</v>
      </c>
      <c r="L3" s="186">
        <f>F3</f>
        <v>680</v>
      </c>
      <c r="M3" s="188" t="s">
        <v>226</v>
      </c>
      <c r="N3" s="186">
        <f>F3</f>
        <v>680</v>
      </c>
      <c r="O3" s="188" t="s">
        <v>226</v>
      </c>
      <c r="P3" s="206">
        <f>((((((H3*1.07)*0.07)+H3)-H3)+H3) + ((((((H3*1.07)*0.07)+H3)-H3)+H3)*1.015))/2</f>
        <v>736.41399000000001</v>
      </c>
      <c r="Q3" s="188" t="s">
        <v>226</v>
      </c>
      <c r="R3" s="206">
        <f>((((((H3*1.09)*0.09)+H3)-H3)+H3) + ((((((H3*1.09)*0.09)+H3)-H3)+H3)*1.015))/2</f>
        <v>752.30830999999989</v>
      </c>
      <c r="S3" s="188" t="s">
        <v>226</v>
      </c>
      <c r="T3" s="206">
        <f>((((((H3*1.08)*0.08)+H3)-H3)+H3) + ((((((H3*1.08)*0.08)+H3)-H3)+H3)*1.015))/2</f>
        <v>744.29263999999989</v>
      </c>
      <c r="U3" s="188" t="s">
        <v>226</v>
      </c>
      <c r="V3" s="206">
        <f>((((((H3*1.1)*0.1)+H3)-H3)+H3) + ((((((H3*1.1)*0.1)+H3)-H3)+H3)*1.015))/2</f>
        <v>760.4609999999999</v>
      </c>
      <c r="W3" s="188" t="s">
        <v>226</v>
      </c>
      <c r="X3" s="206">
        <f>((((((H3*1.12)*0.12)+H3)-H3)+H3) + ((((((H3*1.12)*0.12)+H3)-H3)+H3)*1.015))/2</f>
        <v>777.17743999999993</v>
      </c>
      <c r="Y3" s="188" t="s">
        <v>226</v>
      </c>
      <c r="Z3" s="210">
        <f>((((((H3*1.15)*0.15)+H3)-H3)+H3) + ((((((H3*1.15)*0.15)+H3)-H3)+H3)*1.015))/2</f>
        <v>803.27974999999992</v>
      </c>
    </row>
    <row r="4" spans="1:26" ht="15.75" thickBot="1">
      <c r="A4" s="218">
        <v>2</v>
      </c>
      <c r="B4" s="189">
        <v>1</v>
      </c>
      <c r="C4" s="213"/>
      <c r="D4" s="190"/>
      <c r="E4" s="191">
        <v>1</v>
      </c>
      <c r="F4" s="192">
        <v>1050</v>
      </c>
      <c r="G4" s="187" t="s">
        <v>226</v>
      </c>
      <c r="H4" s="192">
        <f t="shared" ref="H4:H38" si="0">F4</f>
        <v>1050</v>
      </c>
      <c r="I4" s="187" t="s">
        <v>226</v>
      </c>
      <c r="J4" s="192">
        <f t="shared" ref="J4:J38" si="1">F4</f>
        <v>1050</v>
      </c>
      <c r="K4" s="188" t="s">
        <v>226</v>
      </c>
      <c r="L4" s="192">
        <f t="shared" ref="L4:L38" si="2">F4</f>
        <v>1050</v>
      </c>
      <c r="M4" s="188" t="s">
        <v>226</v>
      </c>
      <c r="N4" s="192">
        <f t="shared" ref="N4:N38" si="3">F4</f>
        <v>1050</v>
      </c>
      <c r="O4" s="188" t="s">
        <v>226</v>
      </c>
      <c r="P4" s="207">
        <f t="shared" ref="P4:P38" si="4">((((((H4*1.07)*0.07)+H4)-H4)+H4) + ((((((H4*1.07)*0.07)+H4)-H4)+H4)*1.015))/2</f>
        <v>1137.1098374999999</v>
      </c>
      <c r="Q4" s="188" t="s">
        <v>226</v>
      </c>
      <c r="R4" s="207">
        <f t="shared" ref="R4:R38" si="5">((((((H4*1.09)*0.09)+H4)-H4)+H4) + ((((((H4*1.09)*0.09)+H4)-H4)+H4)*1.015))/2</f>
        <v>1161.6525375000001</v>
      </c>
      <c r="S4" s="188" t="s">
        <v>226</v>
      </c>
      <c r="T4" s="207">
        <f t="shared" ref="T4:T38" si="6">((((((H4*1.08)*0.08)+H4)-H4)+H4) + ((((((H4*1.08)*0.08)+H4)-H4)+H4)*1.015))/2</f>
        <v>1149.2754</v>
      </c>
      <c r="U4" s="188" t="s">
        <v>226</v>
      </c>
      <c r="V4" s="207">
        <f t="shared" ref="V4:V38" si="7">((((((H4*1.1)*0.1)+H4)-H4)+H4) + ((((((H4*1.1)*0.1)+H4)-H4)+H4)*1.015))/2</f>
        <v>1174.24125</v>
      </c>
      <c r="W4" s="188" t="s">
        <v>226</v>
      </c>
      <c r="X4" s="207">
        <f t="shared" ref="X4:X38" si="8">((((((H4*1.12)*0.12)+H4)-H4)+H4) + ((((((H4*1.12)*0.12)+H4)-H4)+H4)*1.015))/2</f>
        <v>1200.0533999999998</v>
      </c>
      <c r="Y4" s="188" t="s">
        <v>226</v>
      </c>
      <c r="Z4" s="211">
        <f t="shared" ref="Z4:Z38" si="9">((((((H4*1.15)*0.15)+H4)-H4)+H4) + ((((((H4*1.15)*0.15)+H4)-H4)+H4)*1.015))/2</f>
        <v>1240.3584375</v>
      </c>
    </row>
    <row r="5" spans="1:26" ht="15.75" thickBot="1">
      <c r="A5" s="217">
        <v>3</v>
      </c>
      <c r="B5" s="183">
        <v>1</v>
      </c>
      <c r="C5" s="213"/>
      <c r="D5" s="184"/>
      <c r="E5" s="193"/>
      <c r="F5" s="186">
        <v>2050</v>
      </c>
      <c r="G5" s="187" t="s">
        <v>226</v>
      </c>
      <c r="H5" s="186">
        <f t="shared" si="0"/>
        <v>2050</v>
      </c>
      <c r="I5" s="187" t="s">
        <v>226</v>
      </c>
      <c r="J5" s="186">
        <f t="shared" si="1"/>
        <v>2050</v>
      </c>
      <c r="K5" s="188" t="s">
        <v>226</v>
      </c>
      <c r="L5" s="186">
        <f t="shared" si="2"/>
        <v>2050</v>
      </c>
      <c r="M5" s="188" t="s">
        <v>226</v>
      </c>
      <c r="N5" s="186">
        <f t="shared" si="3"/>
        <v>2050</v>
      </c>
      <c r="O5" s="188" t="s">
        <v>226</v>
      </c>
      <c r="P5" s="206">
        <f t="shared" si="4"/>
        <v>2220.0715875000001</v>
      </c>
      <c r="Q5" s="188" t="s">
        <v>226</v>
      </c>
      <c r="R5" s="206">
        <f t="shared" si="5"/>
        <v>2267.9882874999998</v>
      </c>
      <c r="S5" s="188" t="s">
        <v>226</v>
      </c>
      <c r="T5" s="206">
        <f t="shared" si="6"/>
        <v>2243.8233999999998</v>
      </c>
      <c r="U5" s="188" t="s">
        <v>226</v>
      </c>
      <c r="V5" s="206">
        <f t="shared" si="7"/>
        <v>2292.5662499999999</v>
      </c>
      <c r="W5" s="188" t="s">
        <v>226</v>
      </c>
      <c r="X5" s="206">
        <f t="shared" si="8"/>
        <v>2342.9614000000001</v>
      </c>
      <c r="Y5" s="188" t="s">
        <v>226</v>
      </c>
      <c r="Z5" s="210">
        <f t="shared" si="9"/>
        <v>2421.6521874999999</v>
      </c>
    </row>
    <row r="6" spans="1:26" ht="15.75" thickBot="1">
      <c r="A6" s="218">
        <v>4</v>
      </c>
      <c r="B6" s="189">
        <v>1</v>
      </c>
      <c r="C6" s="213"/>
      <c r="D6" s="190"/>
      <c r="E6" s="191"/>
      <c r="F6" s="192">
        <v>1800</v>
      </c>
      <c r="G6" s="187" t="s">
        <v>226</v>
      </c>
      <c r="H6" s="192">
        <f t="shared" si="0"/>
        <v>1800</v>
      </c>
      <c r="I6" s="187" t="s">
        <v>226</v>
      </c>
      <c r="J6" s="192">
        <f t="shared" si="1"/>
        <v>1800</v>
      </c>
      <c r="K6" s="188" t="s">
        <v>226</v>
      </c>
      <c r="L6" s="192">
        <f t="shared" si="2"/>
        <v>1800</v>
      </c>
      <c r="M6" s="188" t="s">
        <v>226</v>
      </c>
      <c r="N6" s="192">
        <f t="shared" si="3"/>
        <v>1800</v>
      </c>
      <c r="O6" s="188" t="s">
        <v>226</v>
      </c>
      <c r="P6" s="207">
        <f t="shared" si="4"/>
        <v>1949.33115</v>
      </c>
      <c r="Q6" s="188" t="s">
        <v>226</v>
      </c>
      <c r="R6" s="207">
        <f t="shared" si="5"/>
        <v>1991.4043499999998</v>
      </c>
      <c r="S6" s="188" t="s">
        <v>226</v>
      </c>
      <c r="T6" s="207">
        <f t="shared" si="6"/>
        <v>1970.1864</v>
      </c>
      <c r="U6" s="188" t="s">
        <v>226</v>
      </c>
      <c r="V6" s="207">
        <f t="shared" si="7"/>
        <v>2012.9849999999999</v>
      </c>
      <c r="W6" s="188" t="s">
        <v>226</v>
      </c>
      <c r="X6" s="207">
        <f t="shared" si="8"/>
        <v>2057.2344000000003</v>
      </c>
      <c r="Y6" s="188" t="s">
        <v>226</v>
      </c>
      <c r="Z6" s="211">
        <f t="shared" si="9"/>
        <v>2126.3287499999997</v>
      </c>
    </row>
    <row r="7" spans="1:26" ht="15.75" thickBot="1">
      <c r="A7" s="217">
        <v>5</v>
      </c>
      <c r="B7" s="183">
        <v>1</v>
      </c>
      <c r="C7" s="213"/>
      <c r="D7" s="184"/>
      <c r="E7" s="193"/>
      <c r="F7" s="186">
        <v>1800</v>
      </c>
      <c r="G7" s="187" t="s">
        <v>226</v>
      </c>
      <c r="H7" s="186">
        <f t="shared" si="0"/>
        <v>1800</v>
      </c>
      <c r="I7" s="187" t="s">
        <v>226</v>
      </c>
      <c r="J7" s="186">
        <f t="shared" si="1"/>
        <v>1800</v>
      </c>
      <c r="K7" s="188" t="s">
        <v>226</v>
      </c>
      <c r="L7" s="186">
        <f t="shared" si="2"/>
        <v>1800</v>
      </c>
      <c r="M7" s="188" t="s">
        <v>226</v>
      </c>
      <c r="N7" s="186">
        <f t="shared" si="3"/>
        <v>1800</v>
      </c>
      <c r="O7" s="188" t="s">
        <v>226</v>
      </c>
      <c r="P7" s="206">
        <f t="shared" si="4"/>
        <v>1949.33115</v>
      </c>
      <c r="Q7" s="188" t="s">
        <v>226</v>
      </c>
      <c r="R7" s="206">
        <f t="shared" si="5"/>
        <v>1991.4043499999998</v>
      </c>
      <c r="S7" s="188" t="s">
        <v>226</v>
      </c>
      <c r="T7" s="206">
        <f t="shared" si="6"/>
        <v>1970.1864</v>
      </c>
      <c r="U7" s="188" t="s">
        <v>226</v>
      </c>
      <c r="V7" s="206">
        <f t="shared" si="7"/>
        <v>2012.9849999999999</v>
      </c>
      <c r="W7" s="188" t="s">
        <v>226</v>
      </c>
      <c r="X7" s="206">
        <f t="shared" si="8"/>
        <v>2057.2344000000003</v>
      </c>
      <c r="Y7" s="188" t="s">
        <v>226</v>
      </c>
      <c r="Z7" s="210">
        <f t="shared" si="9"/>
        <v>2126.3287499999997</v>
      </c>
    </row>
    <row r="8" spans="1:26" ht="15.75" thickBot="1">
      <c r="A8" s="218">
        <v>6</v>
      </c>
      <c r="B8" s="189">
        <v>1</v>
      </c>
      <c r="C8" s="212"/>
      <c r="D8" s="190"/>
      <c r="E8" s="191"/>
      <c r="F8" s="192">
        <v>540</v>
      </c>
      <c r="G8" s="187" t="s">
        <v>226</v>
      </c>
      <c r="H8" s="192">
        <f t="shared" si="0"/>
        <v>540</v>
      </c>
      <c r="I8" s="187" t="s">
        <v>226</v>
      </c>
      <c r="J8" s="192">
        <f t="shared" si="1"/>
        <v>540</v>
      </c>
      <c r="K8" s="188" t="s">
        <v>226</v>
      </c>
      <c r="L8" s="192">
        <f t="shared" si="2"/>
        <v>540</v>
      </c>
      <c r="M8" s="188" t="s">
        <v>226</v>
      </c>
      <c r="N8" s="192">
        <f t="shared" si="3"/>
        <v>540</v>
      </c>
      <c r="O8" s="188" t="s">
        <v>226</v>
      </c>
      <c r="P8" s="207">
        <f t="shared" si="4"/>
        <v>584.79934500000002</v>
      </c>
      <c r="Q8" s="188" t="s">
        <v>226</v>
      </c>
      <c r="R8" s="207">
        <f t="shared" si="5"/>
        <v>597.42130500000007</v>
      </c>
      <c r="S8" s="188" t="s">
        <v>226</v>
      </c>
      <c r="T8" s="207">
        <f t="shared" si="6"/>
        <v>591.0559199999999</v>
      </c>
      <c r="U8" s="188" t="s">
        <v>226</v>
      </c>
      <c r="V8" s="207">
        <f t="shared" si="7"/>
        <v>603.89549999999997</v>
      </c>
      <c r="W8" s="188" t="s">
        <v>226</v>
      </c>
      <c r="X8" s="207">
        <f t="shared" si="8"/>
        <v>617.17031999999995</v>
      </c>
      <c r="Y8" s="188" t="s">
        <v>226</v>
      </c>
      <c r="Z8" s="211">
        <f t="shared" si="9"/>
        <v>637.89862499999992</v>
      </c>
    </row>
    <row r="9" spans="1:26" ht="15.75" thickBot="1">
      <c r="A9" s="217">
        <v>7</v>
      </c>
      <c r="B9" s="183">
        <v>1</v>
      </c>
      <c r="C9" s="212"/>
      <c r="D9" s="184"/>
      <c r="E9" s="193"/>
      <c r="F9" s="186">
        <v>2600</v>
      </c>
      <c r="G9" s="187" t="s">
        <v>226</v>
      </c>
      <c r="H9" s="186">
        <f t="shared" si="0"/>
        <v>2600</v>
      </c>
      <c r="I9" s="187" t="s">
        <v>226</v>
      </c>
      <c r="J9" s="186">
        <f t="shared" si="1"/>
        <v>2600</v>
      </c>
      <c r="K9" s="188" t="s">
        <v>226</v>
      </c>
      <c r="L9" s="186">
        <f t="shared" si="2"/>
        <v>2600</v>
      </c>
      <c r="M9" s="188" t="s">
        <v>226</v>
      </c>
      <c r="N9" s="186">
        <f t="shared" si="3"/>
        <v>2600</v>
      </c>
      <c r="O9" s="188" t="s">
        <v>226</v>
      </c>
      <c r="P9" s="206">
        <f t="shared" si="4"/>
        <v>2815.7005499999996</v>
      </c>
      <c r="Q9" s="188" t="s">
        <v>226</v>
      </c>
      <c r="R9" s="206">
        <f t="shared" si="5"/>
        <v>2876.4729499999999</v>
      </c>
      <c r="S9" s="188" t="s">
        <v>226</v>
      </c>
      <c r="T9" s="206">
        <f t="shared" si="6"/>
        <v>2845.8247999999994</v>
      </c>
      <c r="U9" s="188" t="s">
        <v>226</v>
      </c>
      <c r="V9" s="206">
        <f t="shared" si="7"/>
        <v>2907.6449999999995</v>
      </c>
      <c r="W9" s="188" t="s">
        <v>226</v>
      </c>
      <c r="X9" s="206">
        <f t="shared" si="8"/>
        <v>2971.5608000000002</v>
      </c>
      <c r="Y9" s="188" t="s">
        <v>226</v>
      </c>
      <c r="Z9" s="210">
        <f t="shared" si="9"/>
        <v>3071.3637499999995</v>
      </c>
    </row>
    <row r="10" spans="1:26" ht="15.75" thickBot="1">
      <c r="A10" s="218">
        <v>8</v>
      </c>
      <c r="B10" s="189">
        <v>1</v>
      </c>
      <c r="C10" s="212"/>
      <c r="D10" s="190"/>
      <c r="E10" s="191"/>
      <c r="F10" s="192">
        <v>1000</v>
      </c>
      <c r="G10" s="187" t="s">
        <v>226</v>
      </c>
      <c r="H10" s="192">
        <f t="shared" si="0"/>
        <v>1000</v>
      </c>
      <c r="I10" s="187" t="s">
        <v>226</v>
      </c>
      <c r="J10" s="192">
        <f t="shared" si="1"/>
        <v>1000</v>
      </c>
      <c r="K10" s="188" t="s">
        <v>226</v>
      </c>
      <c r="L10" s="192">
        <f t="shared" si="2"/>
        <v>1000</v>
      </c>
      <c r="M10" s="188" t="s">
        <v>226</v>
      </c>
      <c r="N10" s="192">
        <f t="shared" si="3"/>
        <v>1000</v>
      </c>
      <c r="O10" s="188" t="s">
        <v>226</v>
      </c>
      <c r="P10" s="207">
        <f t="shared" si="4"/>
        <v>1082.9617499999999</v>
      </c>
      <c r="Q10" s="188" t="s">
        <v>226</v>
      </c>
      <c r="R10" s="207">
        <f t="shared" si="5"/>
        <v>1106.3357499999997</v>
      </c>
      <c r="S10" s="188" t="s">
        <v>226</v>
      </c>
      <c r="T10" s="207">
        <f t="shared" si="6"/>
        <v>1094.548</v>
      </c>
      <c r="U10" s="188" t="s">
        <v>226</v>
      </c>
      <c r="V10" s="207">
        <f t="shared" si="7"/>
        <v>1118.3249999999998</v>
      </c>
      <c r="W10" s="188" t="s">
        <v>226</v>
      </c>
      <c r="X10" s="207">
        <f t="shared" si="8"/>
        <v>1142.9079999999999</v>
      </c>
      <c r="Y10" s="188" t="s">
        <v>226</v>
      </c>
      <c r="Z10" s="211">
        <f t="shared" si="9"/>
        <v>1181.2937499999998</v>
      </c>
    </row>
    <row r="11" spans="1:26" ht="15.75" thickBot="1">
      <c r="A11" s="217">
        <v>9</v>
      </c>
      <c r="B11" s="183">
        <v>1</v>
      </c>
      <c r="C11" s="212"/>
      <c r="D11" s="184"/>
      <c r="E11" s="193"/>
      <c r="F11" s="186">
        <v>1800</v>
      </c>
      <c r="G11" s="187" t="s">
        <v>226</v>
      </c>
      <c r="H11" s="186">
        <f t="shared" si="0"/>
        <v>1800</v>
      </c>
      <c r="I11" s="187" t="s">
        <v>226</v>
      </c>
      <c r="J11" s="186">
        <f t="shared" si="1"/>
        <v>1800</v>
      </c>
      <c r="K11" s="188" t="s">
        <v>226</v>
      </c>
      <c r="L11" s="186">
        <f t="shared" si="2"/>
        <v>1800</v>
      </c>
      <c r="M11" s="188" t="s">
        <v>226</v>
      </c>
      <c r="N11" s="186">
        <f t="shared" si="3"/>
        <v>1800</v>
      </c>
      <c r="O11" s="188" t="s">
        <v>226</v>
      </c>
      <c r="P11" s="206">
        <f t="shared" si="4"/>
        <v>1949.33115</v>
      </c>
      <c r="Q11" s="188" t="s">
        <v>226</v>
      </c>
      <c r="R11" s="206">
        <f t="shared" si="5"/>
        <v>1991.4043499999998</v>
      </c>
      <c r="S11" s="188" t="s">
        <v>226</v>
      </c>
      <c r="T11" s="206">
        <f t="shared" si="6"/>
        <v>1970.1864</v>
      </c>
      <c r="U11" s="188" t="s">
        <v>226</v>
      </c>
      <c r="V11" s="206">
        <f t="shared" si="7"/>
        <v>2012.9849999999999</v>
      </c>
      <c r="W11" s="188" t="s">
        <v>226</v>
      </c>
      <c r="X11" s="206">
        <f t="shared" si="8"/>
        <v>2057.2344000000003</v>
      </c>
      <c r="Y11" s="188" t="s">
        <v>226</v>
      </c>
      <c r="Z11" s="210">
        <f t="shared" si="9"/>
        <v>2126.3287499999997</v>
      </c>
    </row>
    <row r="12" spans="1:26" ht="15.75" thickBot="1">
      <c r="A12" s="218">
        <v>10</v>
      </c>
      <c r="B12" s="189">
        <v>1</v>
      </c>
      <c r="C12" s="212"/>
      <c r="D12" s="190"/>
      <c r="E12" s="191"/>
      <c r="F12" s="192">
        <v>1359</v>
      </c>
      <c r="G12" s="187" t="s">
        <v>226</v>
      </c>
      <c r="H12" s="192">
        <f t="shared" si="0"/>
        <v>1359</v>
      </c>
      <c r="I12" s="187" t="s">
        <v>226</v>
      </c>
      <c r="J12" s="192">
        <f t="shared" si="1"/>
        <v>1359</v>
      </c>
      <c r="K12" s="188" t="s">
        <v>226</v>
      </c>
      <c r="L12" s="192">
        <f t="shared" si="2"/>
        <v>1359</v>
      </c>
      <c r="M12" s="188" t="s">
        <v>226</v>
      </c>
      <c r="N12" s="192">
        <f t="shared" si="3"/>
        <v>1359</v>
      </c>
      <c r="O12" s="188" t="s">
        <v>226</v>
      </c>
      <c r="P12" s="207">
        <f t="shared" si="4"/>
        <v>1471.7450182499999</v>
      </c>
      <c r="Q12" s="188" t="s">
        <v>226</v>
      </c>
      <c r="R12" s="207">
        <f t="shared" si="5"/>
        <v>1503.51028425</v>
      </c>
      <c r="S12" s="188" t="s">
        <v>226</v>
      </c>
      <c r="T12" s="207">
        <f t="shared" si="6"/>
        <v>1487.4907319999998</v>
      </c>
      <c r="U12" s="188" t="s">
        <v>226</v>
      </c>
      <c r="V12" s="207">
        <f t="shared" si="7"/>
        <v>1519.8036749999999</v>
      </c>
      <c r="W12" s="188" t="s">
        <v>226</v>
      </c>
      <c r="X12" s="207">
        <f t="shared" si="8"/>
        <v>1553.2119719999998</v>
      </c>
      <c r="Y12" s="188" t="s">
        <v>226</v>
      </c>
      <c r="Z12" s="211">
        <f t="shared" si="9"/>
        <v>1605.3782062499999</v>
      </c>
    </row>
    <row r="13" spans="1:26" ht="15.75" thickBot="1">
      <c r="A13" s="217">
        <v>11</v>
      </c>
      <c r="B13" s="183">
        <v>1</v>
      </c>
      <c r="C13" s="212"/>
      <c r="D13" s="184"/>
      <c r="E13" s="193"/>
      <c r="F13" s="186">
        <v>500</v>
      </c>
      <c r="G13" s="187" t="s">
        <v>226</v>
      </c>
      <c r="H13" s="186">
        <f t="shared" si="0"/>
        <v>500</v>
      </c>
      <c r="I13" s="187" t="s">
        <v>226</v>
      </c>
      <c r="J13" s="186">
        <f t="shared" si="1"/>
        <v>500</v>
      </c>
      <c r="K13" s="188" t="s">
        <v>226</v>
      </c>
      <c r="L13" s="186">
        <f t="shared" si="2"/>
        <v>500</v>
      </c>
      <c r="M13" s="188" t="s">
        <v>226</v>
      </c>
      <c r="N13" s="186">
        <f t="shared" si="3"/>
        <v>500</v>
      </c>
      <c r="O13" s="188" t="s">
        <v>226</v>
      </c>
      <c r="P13" s="206">
        <f t="shared" si="4"/>
        <v>541.48087499999997</v>
      </c>
      <c r="Q13" s="188" t="s">
        <v>226</v>
      </c>
      <c r="R13" s="206">
        <f t="shared" si="5"/>
        <v>553.16787499999987</v>
      </c>
      <c r="S13" s="188" t="s">
        <v>226</v>
      </c>
      <c r="T13" s="206">
        <f t="shared" si="6"/>
        <v>547.274</v>
      </c>
      <c r="U13" s="188" t="s">
        <v>226</v>
      </c>
      <c r="V13" s="206">
        <f t="shared" si="7"/>
        <v>559.16249999999991</v>
      </c>
      <c r="W13" s="188" t="s">
        <v>226</v>
      </c>
      <c r="X13" s="206">
        <f t="shared" si="8"/>
        <v>571.45399999999995</v>
      </c>
      <c r="Y13" s="188" t="s">
        <v>226</v>
      </c>
      <c r="Z13" s="210">
        <f t="shared" si="9"/>
        <v>590.64687499999991</v>
      </c>
    </row>
    <row r="14" spans="1:26" ht="15.75" thickBot="1">
      <c r="A14" s="218">
        <v>12</v>
      </c>
      <c r="B14" s="189">
        <v>1</v>
      </c>
      <c r="C14" s="213"/>
      <c r="D14" s="190"/>
      <c r="E14" s="191"/>
      <c r="F14" s="192">
        <v>900</v>
      </c>
      <c r="G14" s="187" t="s">
        <v>226</v>
      </c>
      <c r="H14" s="192">
        <f t="shared" si="0"/>
        <v>900</v>
      </c>
      <c r="I14" s="187" t="s">
        <v>226</v>
      </c>
      <c r="J14" s="192">
        <f t="shared" si="1"/>
        <v>900</v>
      </c>
      <c r="K14" s="188" t="s">
        <v>226</v>
      </c>
      <c r="L14" s="192">
        <f t="shared" si="2"/>
        <v>900</v>
      </c>
      <c r="M14" s="188" t="s">
        <v>226</v>
      </c>
      <c r="N14" s="192">
        <f t="shared" si="3"/>
        <v>900</v>
      </c>
      <c r="O14" s="188" t="s">
        <v>226</v>
      </c>
      <c r="P14" s="207">
        <f t="shared" si="4"/>
        <v>974.66557499999999</v>
      </c>
      <c r="Q14" s="188" t="s">
        <v>226</v>
      </c>
      <c r="R14" s="207">
        <f t="shared" si="5"/>
        <v>995.7021749999999</v>
      </c>
      <c r="S14" s="188" t="s">
        <v>226</v>
      </c>
      <c r="T14" s="207">
        <f t="shared" si="6"/>
        <v>985.09320000000002</v>
      </c>
      <c r="U14" s="188" t="s">
        <v>226</v>
      </c>
      <c r="V14" s="207">
        <f t="shared" si="7"/>
        <v>1006.4924999999999</v>
      </c>
      <c r="W14" s="188" t="s">
        <v>226</v>
      </c>
      <c r="X14" s="207">
        <f t="shared" si="8"/>
        <v>1028.6172000000001</v>
      </c>
      <c r="Y14" s="188" t="s">
        <v>226</v>
      </c>
      <c r="Z14" s="211">
        <f t="shared" si="9"/>
        <v>1063.1643749999998</v>
      </c>
    </row>
    <row r="15" spans="1:26" ht="15.75" thickBot="1">
      <c r="A15" s="217">
        <v>13</v>
      </c>
      <c r="B15" s="183">
        <v>1</v>
      </c>
      <c r="C15" s="212"/>
      <c r="D15" s="184"/>
      <c r="E15" s="193"/>
      <c r="F15" s="186">
        <v>289</v>
      </c>
      <c r="G15" s="187" t="s">
        <v>226</v>
      </c>
      <c r="H15" s="186">
        <f t="shared" si="0"/>
        <v>289</v>
      </c>
      <c r="I15" s="187" t="s">
        <v>226</v>
      </c>
      <c r="J15" s="186">
        <f t="shared" si="1"/>
        <v>289</v>
      </c>
      <c r="K15" s="188" t="s">
        <v>226</v>
      </c>
      <c r="L15" s="186">
        <f t="shared" si="2"/>
        <v>289</v>
      </c>
      <c r="M15" s="188" t="s">
        <v>226</v>
      </c>
      <c r="N15" s="186">
        <f t="shared" si="3"/>
        <v>289</v>
      </c>
      <c r="O15" s="188" t="s">
        <v>226</v>
      </c>
      <c r="P15" s="206">
        <f t="shared" si="4"/>
        <v>312.97594574999994</v>
      </c>
      <c r="Q15" s="188" t="s">
        <v>226</v>
      </c>
      <c r="R15" s="206">
        <f t="shared" si="5"/>
        <v>319.73103175</v>
      </c>
      <c r="S15" s="188" t="s">
        <v>226</v>
      </c>
      <c r="T15" s="206">
        <f t="shared" si="6"/>
        <v>316.32437200000004</v>
      </c>
      <c r="U15" s="188" t="s">
        <v>226</v>
      </c>
      <c r="V15" s="206">
        <f t="shared" si="7"/>
        <v>323.19592499999999</v>
      </c>
      <c r="W15" s="188" t="s">
        <v>226</v>
      </c>
      <c r="X15" s="206">
        <f t="shared" si="8"/>
        <v>330.30041199999994</v>
      </c>
      <c r="Y15" s="188" t="s">
        <v>226</v>
      </c>
      <c r="Z15" s="210">
        <f t="shared" si="9"/>
        <v>341.39389374999996</v>
      </c>
    </row>
    <row r="16" spans="1:26" ht="15.75" thickBot="1">
      <c r="A16" s="218">
        <v>14</v>
      </c>
      <c r="B16" s="189">
        <v>1</v>
      </c>
      <c r="C16" s="212"/>
      <c r="D16" s="190"/>
      <c r="E16" s="191"/>
      <c r="F16" s="192">
        <v>1350</v>
      </c>
      <c r="G16" s="187" t="s">
        <v>226</v>
      </c>
      <c r="H16" s="192">
        <f t="shared" si="0"/>
        <v>1350</v>
      </c>
      <c r="I16" s="187" t="s">
        <v>226</v>
      </c>
      <c r="J16" s="192">
        <f t="shared" si="1"/>
        <v>1350</v>
      </c>
      <c r="K16" s="188" t="s">
        <v>226</v>
      </c>
      <c r="L16" s="192">
        <f t="shared" si="2"/>
        <v>1350</v>
      </c>
      <c r="M16" s="188" t="s">
        <v>226</v>
      </c>
      <c r="N16" s="192">
        <f t="shared" si="3"/>
        <v>1350</v>
      </c>
      <c r="O16" s="188" t="s">
        <v>226</v>
      </c>
      <c r="P16" s="207">
        <f t="shared" si="4"/>
        <v>1461.9983625</v>
      </c>
      <c r="Q16" s="188" t="s">
        <v>226</v>
      </c>
      <c r="R16" s="207">
        <f t="shared" si="5"/>
        <v>1493.5532624999998</v>
      </c>
      <c r="S16" s="188" t="s">
        <v>226</v>
      </c>
      <c r="T16" s="207">
        <f t="shared" si="6"/>
        <v>1477.6397999999999</v>
      </c>
      <c r="U16" s="188" t="s">
        <v>226</v>
      </c>
      <c r="V16" s="207">
        <f t="shared" si="7"/>
        <v>1509.73875</v>
      </c>
      <c r="W16" s="188" t="s">
        <v>226</v>
      </c>
      <c r="X16" s="207">
        <f t="shared" si="8"/>
        <v>1542.9258</v>
      </c>
      <c r="Y16" s="188" t="s">
        <v>226</v>
      </c>
      <c r="Z16" s="211">
        <f t="shared" si="9"/>
        <v>1594.7465625</v>
      </c>
    </row>
    <row r="17" spans="1:26" ht="15.75" thickBot="1">
      <c r="A17" s="217">
        <v>15</v>
      </c>
      <c r="B17" s="183">
        <v>1</v>
      </c>
      <c r="C17" s="212"/>
      <c r="D17" s="184"/>
      <c r="E17" s="193"/>
      <c r="F17" s="186">
        <v>500</v>
      </c>
      <c r="G17" s="187" t="s">
        <v>226</v>
      </c>
      <c r="H17" s="186">
        <f t="shared" si="0"/>
        <v>500</v>
      </c>
      <c r="I17" s="187" t="s">
        <v>226</v>
      </c>
      <c r="J17" s="186">
        <f t="shared" si="1"/>
        <v>500</v>
      </c>
      <c r="K17" s="188" t="s">
        <v>226</v>
      </c>
      <c r="L17" s="186">
        <f t="shared" si="2"/>
        <v>500</v>
      </c>
      <c r="M17" s="188" t="s">
        <v>226</v>
      </c>
      <c r="N17" s="186">
        <f t="shared" si="3"/>
        <v>500</v>
      </c>
      <c r="O17" s="188" t="s">
        <v>226</v>
      </c>
      <c r="P17" s="206">
        <f t="shared" si="4"/>
        <v>541.48087499999997</v>
      </c>
      <c r="Q17" s="188" t="s">
        <v>226</v>
      </c>
      <c r="R17" s="206">
        <f t="shared" si="5"/>
        <v>553.16787499999987</v>
      </c>
      <c r="S17" s="188" t="s">
        <v>226</v>
      </c>
      <c r="T17" s="206">
        <f t="shared" si="6"/>
        <v>547.274</v>
      </c>
      <c r="U17" s="188" t="s">
        <v>226</v>
      </c>
      <c r="V17" s="206">
        <f t="shared" si="7"/>
        <v>559.16249999999991</v>
      </c>
      <c r="W17" s="188" t="s">
        <v>226</v>
      </c>
      <c r="X17" s="206">
        <f t="shared" si="8"/>
        <v>571.45399999999995</v>
      </c>
      <c r="Y17" s="188" t="s">
        <v>226</v>
      </c>
      <c r="Z17" s="210">
        <f t="shared" si="9"/>
        <v>590.64687499999991</v>
      </c>
    </row>
    <row r="18" spans="1:26" ht="15.75" thickBot="1">
      <c r="A18" s="218">
        <v>16</v>
      </c>
      <c r="B18" s="189">
        <v>1</v>
      </c>
      <c r="C18" s="213"/>
      <c r="D18" s="190"/>
      <c r="E18" s="191"/>
      <c r="F18" s="192">
        <v>389</v>
      </c>
      <c r="G18" s="187" t="s">
        <v>226</v>
      </c>
      <c r="H18" s="192">
        <f t="shared" si="0"/>
        <v>389</v>
      </c>
      <c r="I18" s="187" t="s">
        <v>226</v>
      </c>
      <c r="J18" s="192">
        <f t="shared" si="1"/>
        <v>389</v>
      </c>
      <c r="K18" s="188" t="s">
        <v>226</v>
      </c>
      <c r="L18" s="192">
        <f t="shared" si="2"/>
        <v>389</v>
      </c>
      <c r="M18" s="188" t="s">
        <v>226</v>
      </c>
      <c r="N18" s="192">
        <f t="shared" si="3"/>
        <v>389</v>
      </c>
      <c r="O18" s="188" t="s">
        <v>226</v>
      </c>
      <c r="P18" s="207">
        <f t="shared" si="4"/>
        <v>421.27212075</v>
      </c>
      <c r="Q18" s="188" t="s">
        <v>226</v>
      </c>
      <c r="R18" s="207">
        <f t="shared" si="5"/>
        <v>430.36460675000001</v>
      </c>
      <c r="S18" s="188" t="s">
        <v>226</v>
      </c>
      <c r="T18" s="207">
        <f t="shared" si="6"/>
        <v>425.77917200000002</v>
      </c>
      <c r="U18" s="188" t="s">
        <v>226</v>
      </c>
      <c r="V18" s="207">
        <f t="shared" si="7"/>
        <v>435.02842499999997</v>
      </c>
      <c r="W18" s="188" t="s">
        <v>226</v>
      </c>
      <c r="X18" s="207">
        <f t="shared" si="8"/>
        <v>444.59121200000004</v>
      </c>
      <c r="Y18" s="188" t="s">
        <v>226</v>
      </c>
      <c r="Z18" s="211">
        <f t="shared" si="9"/>
        <v>459.52326874999994</v>
      </c>
    </row>
    <row r="19" spans="1:26" ht="15.75" thickBot="1">
      <c r="A19" s="217">
        <v>17</v>
      </c>
      <c r="B19" s="183"/>
      <c r="C19" s="212"/>
      <c r="D19" s="184"/>
      <c r="E19" s="193"/>
      <c r="F19" s="186"/>
      <c r="G19" s="187" t="s">
        <v>226</v>
      </c>
      <c r="H19" s="186">
        <f t="shared" si="0"/>
        <v>0</v>
      </c>
      <c r="I19" s="187" t="s">
        <v>226</v>
      </c>
      <c r="J19" s="186">
        <f t="shared" si="1"/>
        <v>0</v>
      </c>
      <c r="K19" s="188" t="s">
        <v>226</v>
      </c>
      <c r="L19" s="186">
        <f t="shared" si="2"/>
        <v>0</v>
      </c>
      <c r="M19" s="188" t="s">
        <v>226</v>
      </c>
      <c r="N19" s="186">
        <f t="shared" si="3"/>
        <v>0</v>
      </c>
      <c r="O19" s="188" t="s">
        <v>226</v>
      </c>
      <c r="P19" s="206">
        <f t="shared" si="4"/>
        <v>0</v>
      </c>
      <c r="Q19" s="188" t="s">
        <v>226</v>
      </c>
      <c r="R19" s="206">
        <f t="shared" si="5"/>
        <v>0</v>
      </c>
      <c r="S19" s="188" t="s">
        <v>226</v>
      </c>
      <c r="T19" s="206">
        <f t="shared" si="6"/>
        <v>0</v>
      </c>
      <c r="U19" s="188" t="s">
        <v>226</v>
      </c>
      <c r="V19" s="206">
        <f t="shared" si="7"/>
        <v>0</v>
      </c>
      <c r="W19" s="188" t="s">
        <v>226</v>
      </c>
      <c r="X19" s="206">
        <f t="shared" si="8"/>
        <v>0</v>
      </c>
      <c r="Y19" s="188" t="s">
        <v>226</v>
      </c>
      <c r="Z19" s="210">
        <f t="shared" si="9"/>
        <v>0</v>
      </c>
    </row>
    <row r="20" spans="1:26" ht="15.75" thickBot="1">
      <c r="A20" s="218">
        <v>18</v>
      </c>
      <c r="B20" s="189"/>
      <c r="C20" s="213"/>
      <c r="D20" s="190"/>
      <c r="E20" s="191"/>
      <c r="F20" s="192"/>
      <c r="G20" s="187" t="s">
        <v>226</v>
      </c>
      <c r="H20" s="192">
        <f t="shared" si="0"/>
        <v>0</v>
      </c>
      <c r="I20" s="187" t="s">
        <v>226</v>
      </c>
      <c r="J20" s="192">
        <f t="shared" si="1"/>
        <v>0</v>
      </c>
      <c r="K20" s="188" t="s">
        <v>226</v>
      </c>
      <c r="L20" s="192">
        <f t="shared" si="2"/>
        <v>0</v>
      </c>
      <c r="M20" s="188" t="s">
        <v>226</v>
      </c>
      <c r="N20" s="192">
        <f t="shared" si="3"/>
        <v>0</v>
      </c>
      <c r="O20" s="188" t="s">
        <v>226</v>
      </c>
      <c r="P20" s="207">
        <f t="shared" si="4"/>
        <v>0</v>
      </c>
      <c r="Q20" s="188" t="s">
        <v>226</v>
      </c>
      <c r="R20" s="207">
        <f t="shared" si="5"/>
        <v>0</v>
      </c>
      <c r="S20" s="188" t="s">
        <v>226</v>
      </c>
      <c r="T20" s="207">
        <f t="shared" si="6"/>
        <v>0</v>
      </c>
      <c r="U20" s="188" t="s">
        <v>226</v>
      </c>
      <c r="V20" s="207">
        <f t="shared" si="7"/>
        <v>0</v>
      </c>
      <c r="W20" s="188" t="s">
        <v>226</v>
      </c>
      <c r="X20" s="207">
        <f t="shared" si="8"/>
        <v>0</v>
      </c>
      <c r="Y20" s="188" t="s">
        <v>226</v>
      </c>
      <c r="Z20" s="211">
        <f t="shared" si="9"/>
        <v>0</v>
      </c>
    </row>
    <row r="21" spans="1:26" ht="15.75" thickBot="1">
      <c r="A21" s="217">
        <v>19</v>
      </c>
      <c r="B21" s="183"/>
      <c r="C21" s="212"/>
      <c r="D21" s="184"/>
      <c r="E21" s="193"/>
      <c r="F21" s="186"/>
      <c r="G21" s="187" t="s">
        <v>226</v>
      </c>
      <c r="H21" s="186">
        <f t="shared" si="0"/>
        <v>0</v>
      </c>
      <c r="I21" s="187" t="s">
        <v>226</v>
      </c>
      <c r="J21" s="186">
        <f t="shared" si="1"/>
        <v>0</v>
      </c>
      <c r="K21" s="188" t="s">
        <v>226</v>
      </c>
      <c r="L21" s="186">
        <f t="shared" si="2"/>
        <v>0</v>
      </c>
      <c r="M21" s="188" t="s">
        <v>226</v>
      </c>
      <c r="N21" s="186">
        <f t="shared" si="3"/>
        <v>0</v>
      </c>
      <c r="O21" s="188" t="s">
        <v>226</v>
      </c>
      <c r="P21" s="206">
        <f t="shared" si="4"/>
        <v>0</v>
      </c>
      <c r="Q21" s="188" t="s">
        <v>226</v>
      </c>
      <c r="R21" s="206">
        <f t="shared" si="5"/>
        <v>0</v>
      </c>
      <c r="S21" s="188" t="s">
        <v>226</v>
      </c>
      <c r="T21" s="206">
        <f t="shared" si="6"/>
        <v>0</v>
      </c>
      <c r="U21" s="188" t="s">
        <v>226</v>
      </c>
      <c r="V21" s="206">
        <f t="shared" si="7"/>
        <v>0</v>
      </c>
      <c r="W21" s="188" t="s">
        <v>226</v>
      </c>
      <c r="X21" s="206">
        <f t="shared" si="8"/>
        <v>0</v>
      </c>
      <c r="Y21" s="188" t="s">
        <v>226</v>
      </c>
      <c r="Z21" s="210">
        <f t="shared" si="9"/>
        <v>0</v>
      </c>
    </row>
    <row r="22" spans="1:26" ht="15.75" thickBot="1">
      <c r="A22" s="218">
        <v>20</v>
      </c>
      <c r="B22" s="189"/>
      <c r="C22" s="213"/>
      <c r="D22" s="190"/>
      <c r="E22" s="191"/>
      <c r="F22" s="192"/>
      <c r="G22" s="187" t="s">
        <v>226</v>
      </c>
      <c r="H22" s="192">
        <f t="shared" si="0"/>
        <v>0</v>
      </c>
      <c r="I22" s="187" t="s">
        <v>226</v>
      </c>
      <c r="J22" s="192">
        <f t="shared" si="1"/>
        <v>0</v>
      </c>
      <c r="K22" s="188" t="s">
        <v>226</v>
      </c>
      <c r="L22" s="192">
        <f t="shared" si="2"/>
        <v>0</v>
      </c>
      <c r="M22" s="188" t="s">
        <v>226</v>
      </c>
      <c r="N22" s="192">
        <f t="shared" si="3"/>
        <v>0</v>
      </c>
      <c r="O22" s="188" t="s">
        <v>226</v>
      </c>
      <c r="P22" s="207">
        <f t="shared" si="4"/>
        <v>0</v>
      </c>
      <c r="Q22" s="188" t="s">
        <v>226</v>
      </c>
      <c r="R22" s="207">
        <f t="shared" si="5"/>
        <v>0</v>
      </c>
      <c r="S22" s="188" t="s">
        <v>226</v>
      </c>
      <c r="T22" s="207">
        <f t="shared" si="6"/>
        <v>0</v>
      </c>
      <c r="U22" s="188" t="s">
        <v>226</v>
      </c>
      <c r="V22" s="207">
        <f t="shared" si="7"/>
        <v>0</v>
      </c>
      <c r="W22" s="188" t="s">
        <v>226</v>
      </c>
      <c r="X22" s="207">
        <f t="shared" si="8"/>
        <v>0</v>
      </c>
      <c r="Y22" s="188" t="s">
        <v>226</v>
      </c>
      <c r="Z22" s="211">
        <f t="shared" si="9"/>
        <v>0</v>
      </c>
    </row>
    <row r="23" spans="1:26" ht="15.75" thickBot="1">
      <c r="A23" s="217">
        <v>21</v>
      </c>
      <c r="B23" s="183"/>
      <c r="C23" s="212"/>
      <c r="D23" s="184"/>
      <c r="E23" s="193"/>
      <c r="F23" s="186"/>
      <c r="G23" s="187" t="s">
        <v>226</v>
      </c>
      <c r="H23" s="186">
        <f t="shared" si="0"/>
        <v>0</v>
      </c>
      <c r="I23" s="187" t="s">
        <v>226</v>
      </c>
      <c r="J23" s="186">
        <f t="shared" si="1"/>
        <v>0</v>
      </c>
      <c r="K23" s="188" t="s">
        <v>226</v>
      </c>
      <c r="L23" s="186">
        <f t="shared" si="2"/>
        <v>0</v>
      </c>
      <c r="M23" s="188" t="s">
        <v>226</v>
      </c>
      <c r="N23" s="186">
        <f t="shared" si="3"/>
        <v>0</v>
      </c>
      <c r="O23" s="188" t="s">
        <v>226</v>
      </c>
      <c r="P23" s="206">
        <f t="shared" si="4"/>
        <v>0</v>
      </c>
      <c r="Q23" s="188" t="s">
        <v>226</v>
      </c>
      <c r="R23" s="206">
        <f t="shared" si="5"/>
        <v>0</v>
      </c>
      <c r="S23" s="188" t="s">
        <v>226</v>
      </c>
      <c r="T23" s="206">
        <f t="shared" si="6"/>
        <v>0</v>
      </c>
      <c r="U23" s="188" t="s">
        <v>226</v>
      </c>
      <c r="V23" s="206">
        <f t="shared" si="7"/>
        <v>0</v>
      </c>
      <c r="W23" s="188" t="s">
        <v>226</v>
      </c>
      <c r="X23" s="206">
        <f t="shared" si="8"/>
        <v>0</v>
      </c>
      <c r="Y23" s="188" t="s">
        <v>226</v>
      </c>
      <c r="Z23" s="210">
        <f t="shared" si="9"/>
        <v>0</v>
      </c>
    </row>
    <row r="24" spans="1:26" ht="15.75" thickBot="1">
      <c r="A24" s="218">
        <v>22</v>
      </c>
      <c r="B24" s="189"/>
      <c r="C24" s="213"/>
      <c r="D24" s="190"/>
      <c r="E24" s="191"/>
      <c r="F24" s="192"/>
      <c r="G24" s="187" t="s">
        <v>226</v>
      </c>
      <c r="H24" s="192">
        <f t="shared" si="0"/>
        <v>0</v>
      </c>
      <c r="I24" s="187" t="s">
        <v>226</v>
      </c>
      <c r="J24" s="192">
        <f t="shared" si="1"/>
        <v>0</v>
      </c>
      <c r="K24" s="188" t="s">
        <v>226</v>
      </c>
      <c r="L24" s="192">
        <f t="shared" si="2"/>
        <v>0</v>
      </c>
      <c r="M24" s="188" t="s">
        <v>226</v>
      </c>
      <c r="N24" s="192">
        <f t="shared" si="3"/>
        <v>0</v>
      </c>
      <c r="O24" s="188" t="s">
        <v>226</v>
      </c>
      <c r="P24" s="207">
        <f t="shared" si="4"/>
        <v>0</v>
      </c>
      <c r="Q24" s="188" t="s">
        <v>226</v>
      </c>
      <c r="R24" s="207">
        <f t="shared" si="5"/>
        <v>0</v>
      </c>
      <c r="S24" s="188" t="s">
        <v>226</v>
      </c>
      <c r="T24" s="207">
        <f t="shared" si="6"/>
        <v>0</v>
      </c>
      <c r="U24" s="188" t="s">
        <v>226</v>
      </c>
      <c r="V24" s="207">
        <f t="shared" si="7"/>
        <v>0</v>
      </c>
      <c r="W24" s="188" t="s">
        <v>226</v>
      </c>
      <c r="X24" s="207">
        <f t="shared" si="8"/>
        <v>0</v>
      </c>
      <c r="Y24" s="188" t="s">
        <v>226</v>
      </c>
      <c r="Z24" s="211">
        <f t="shared" si="9"/>
        <v>0</v>
      </c>
    </row>
    <row r="25" spans="1:26" ht="15.75" thickBot="1">
      <c r="A25" s="217">
        <v>23</v>
      </c>
      <c r="B25" s="183"/>
      <c r="C25" s="212"/>
      <c r="D25" s="184"/>
      <c r="E25" s="193"/>
      <c r="F25" s="186"/>
      <c r="G25" s="187" t="s">
        <v>226</v>
      </c>
      <c r="H25" s="186">
        <f t="shared" si="0"/>
        <v>0</v>
      </c>
      <c r="I25" s="187" t="s">
        <v>226</v>
      </c>
      <c r="J25" s="186">
        <f t="shared" si="1"/>
        <v>0</v>
      </c>
      <c r="K25" s="188" t="s">
        <v>226</v>
      </c>
      <c r="L25" s="186">
        <f t="shared" si="2"/>
        <v>0</v>
      </c>
      <c r="M25" s="188" t="s">
        <v>226</v>
      </c>
      <c r="N25" s="186">
        <f t="shared" si="3"/>
        <v>0</v>
      </c>
      <c r="O25" s="188" t="s">
        <v>226</v>
      </c>
      <c r="P25" s="206">
        <f t="shared" si="4"/>
        <v>0</v>
      </c>
      <c r="Q25" s="188" t="s">
        <v>226</v>
      </c>
      <c r="R25" s="206">
        <f t="shared" si="5"/>
        <v>0</v>
      </c>
      <c r="S25" s="188" t="s">
        <v>226</v>
      </c>
      <c r="T25" s="206">
        <f t="shared" si="6"/>
        <v>0</v>
      </c>
      <c r="U25" s="188" t="s">
        <v>226</v>
      </c>
      <c r="V25" s="206">
        <f t="shared" si="7"/>
        <v>0</v>
      </c>
      <c r="W25" s="188" t="s">
        <v>226</v>
      </c>
      <c r="X25" s="206">
        <f t="shared" si="8"/>
        <v>0</v>
      </c>
      <c r="Y25" s="188" t="s">
        <v>226</v>
      </c>
      <c r="Z25" s="210">
        <f t="shared" si="9"/>
        <v>0</v>
      </c>
    </row>
    <row r="26" spans="1:26" ht="15.75" thickBot="1">
      <c r="A26" s="218">
        <v>24</v>
      </c>
      <c r="B26" s="189"/>
      <c r="C26" s="213"/>
      <c r="D26" s="190"/>
      <c r="E26" s="191"/>
      <c r="F26" s="192"/>
      <c r="G26" s="187" t="s">
        <v>226</v>
      </c>
      <c r="H26" s="192">
        <f t="shared" si="0"/>
        <v>0</v>
      </c>
      <c r="I26" s="187" t="s">
        <v>226</v>
      </c>
      <c r="J26" s="192">
        <f t="shared" si="1"/>
        <v>0</v>
      </c>
      <c r="K26" s="188" t="s">
        <v>226</v>
      </c>
      <c r="L26" s="192">
        <f t="shared" si="2"/>
        <v>0</v>
      </c>
      <c r="M26" s="188" t="s">
        <v>226</v>
      </c>
      <c r="N26" s="192">
        <f t="shared" si="3"/>
        <v>0</v>
      </c>
      <c r="O26" s="188" t="s">
        <v>226</v>
      </c>
      <c r="P26" s="207">
        <f t="shared" si="4"/>
        <v>0</v>
      </c>
      <c r="Q26" s="188" t="s">
        <v>226</v>
      </c>
      <c r="R26" s="207">
        <f t="shared" si="5"/>
        <v>0</v>
      </c>
      <c r="S26" s="188" t="s">
        <v>226</v>
      </c>
      <c r="T26" s="207">
        <f t="shared" si="6"/>
        <v>0</v>
      </c>
      <c r="U26" s="188" t="s">
        <v>226</v>
      </c>
      <c r="V26" s="207">
        <f t="shared" si="7"/>
        <v>0</v>
      </c>
      <c r="W26" s="188" t="s">
        <v>226</v>
      </c>
      <c r="X26" s="207">
        <f t="shared" si="8"/>
        <v>0</v>
      </c>
      <c r="Y26" s="188" t="s">
        <v>226</v>
      </c>
      <c r="Z26" s="211">
        <f t="shared" si="9"/>
        <v>0</v>
      </c>
    </row>
    <row r="27" spans="1:26" ht="15.75" thickBot="1">
      <c r="A27" s="217">
        <v>25</v>
      </c>
      <c r="B27" s="183"/>
      <c r="C27" s="212"/>
      <c r="D27" s="184"/>
      <c r="E27" s="193"/>
      <c r="F27" s="186"/>
      <c r="G27" s="187" t="s">
        <v>226</v>
      </c>
      <c r="H27" s="186">
        <f t="shared" si="0"/>
        <v>0</v>
      </c>
      <c r="I27" s="187" t="s">
        <v>226</v>
      </c>
      <c r="J27" s="186">
        <f t="shared" si="1"/>
        <v>0</v>
      </c>
      <c r="K27" s="188" t="s">
        <v>226</v>
      </c>
      <c r="L27" s="186">
        <f t="shared" si="2"/>
        <v>0</v>
      </c>
      <c r="M27" s="188" t="s">
        <v>226</v>
      </c>
      <c r="N27" s="186">
        <f t="shared" si="3"/>
        <v>0</v>
      </c>
      <c r="O27" s="188" t="s">
        <v>226</v>
      </c>
      <c r="P27" s="206">
        <f t="shared" si="4"/>
        <v>0</v>
      </c>
      <c r="Q27" s="188" t="s">
        <v>226</v>
      </c>
      <c r="R27" s="206">
        <f t="shared" si="5"/>
        <v>0</v>
      </c>
      <c r="S27" s="188" t="s">
        <v>226</v>
      </c>
      <c r="T27" s="206">
        <f t="shared" si="6"/>
        <v>0</v>
      </c>
      <c r="U27" s="188" t="s">
        <v>226</v>
      </c>
      <c r="V27" s="206">
        <f t="shared" si="7"/>
        <v>0</v>
      </c>
      <c r="W27" s="188" t="s">
        <v>226</v>
      </c>
      <c r="X27" s="206">
        <f t="shared" si="8"/>
        <v>0</v>
      </c>
      <c r="Y27" s="188" t="s">
        <v>226</v>
      </c>
      <c r="Z27" s="210">
        <f t="shared" si="9"/>
        <v>0</v>
      </c>
    </row>
    <row r="28" spans="1:26" ht="15.75" thickBot="1">
      <c r="A28" s="218">
        <v>26</v>
      </c>
      <c r="B28" s="189"/>
      <c r="C28" s="213"/>
      <c r="D28" s="190"/>
      <c r="E28" s="191"/>
      <c r="F28" s="192"/>
      <c r="G28" s="187" t="s">
        <v>226</v>
      </c>
      <c r="H28" s="192">
        <f t="shared" si="0"/>
        <v>0</v>
      </c>
      <c r="I28" s="187" t="s">
        <v>226</v>
      </c>
      <c r="J28" s="192">
        <f t="shared" si="1"/>
        <v>0</v>
      </c>
      <c r="K28" s="188" t="s">
        <v>226</v>
      </c>
      <c r="L28" s="192">
        <f t="shared" si="2"/>
        <v>0</v>
      </c>
      <c r="M28" s="188" t="s">
        <v>226</v>
      </c>
      <c r="N28" s="192">
        <f t="shared" si="3"/>
        <v>0</v>
      </c>
      <c r="O28" s="188" t="s">
        <v>226</v>
      </c>
      <c r="P28" s="207">
        <f t="shared" si="4"/>
        <v>0</v>
      </c>
      <c r="Q28" s="188" t="s">
        <v>226</v>
      </c>
      <c r="R28" s="207">
        <f t="shared" si="5"/>
        <v>0</v>
      </c>
      <c r="S28" s="188" t="s">
        <v>226</v>
      </c>
      <c r="T28" s="207">
        <f t="shared" si="6"/>
        <v>0</v>
      </c>
      <c r="U28" s="188" t="s">
        <v>226</v>
      </c>
      <c r="V28" s="207">
        <f t="shared" si="7"/>
        <v>0</v>
      </c>
      <c r="W28" s="188" t="s">
        <v>226</v>
      </c>
      <c r="X28" s="207">
        <f t="shared" si="8"/>
        <v>0</v>
      </c>
      <c r="Y28" s="188" t="s">
        <v>226</v>
      </c>
      <c r="Z28" s="211">
        <f t="shared" si="9"/>
        <v>0</v>
      </c>
    </row>
    <row r="29" spans="1:26" ht="15.75" thickBot="1">
      <c r="A29" s="217">
        <v>27</v>
      </c>
      <c r="B29" s="183"/>
      <c r="C29" s="212"/>
      <c r="D29" s="184"/>
      <c r="E29" s="193"/>
      <c r="F29" s="186"/>
      <c r="G29" s="187" t="s">
        <v>226</v>
      </c>
      <c r="H29" s="186">
        <f t="shared" si="0"/>
        <v>0</v>
      </c>
      <c r="I29" s="187" t="s">
        <v>226</v>
      </c>
      <c r="J29" s="186">
        <f t="shared" si="1"/>
        <v>0</v>
      </c>
      <c r="K29" s="188" t="s">
        <v>226</v>
      </c>
      <c r="L29" s="186">
        <f t="shared" si="2"/>
        <v>0</v>
      </c>
      <c r="M29" s="188" t="s">
        <v>226</v>
      </c>
      <c r="N29" s="186">
        <f t="shared" si="3"/>
        <v>0</v>
      </c>
      <c r="O29" s="188" t="s">
        <v>226</v>
      </c>
      <c r="P29" s="206">
        <f t="shared" si="4"/>
        <v>0</v>
      </c>
      <c r="Q29" s="188" t="s">
        <v>226</v>
      </c>
      <c r="R29" s="206">
        <f t="shared" si="5"/>
        <v>0</v>
      </c>
      <c r="S29" s="188" t="s">
        <v>226</v>
      </c>
      <c r="T29" s="206">
        <f t="shared" si="6"/>
        <v>0</v>
      </c>
      <c r="U29" s="188" t="s">
        <v>226</v>
      </c>
      <c r="V29" s="206">
        <f t="shared" si="7"/>
        <v>0</v>
      </c>
      <c r="W29" s="188" t="s">
        <v>226</v>
      </c>
      <c r="X29" s="206">
        <f t="shared" si="8"/>
        <v>0</v>
      </c>
      <c r="Y29" s="188" t="s">
        <v>226</v>
      </c>
      <c r="Z29" s="210">
        <f t="shared" si="9"/>
        <v>0</v>
      </c>
    </row>
    <row r="30" spans="1:26" ht="15.75" thickBot="1">
      <c r="A30" s="218">
        <v>28</v>
      </c>
      <c r="B30" s="189"/>
      <c r="C30" s="213"/>
      <c r="D30" s="190"/>
      <c r="E30" s="191"/>
      <c r="F30" s="192"/>
      <c r="G30" s="187" t="s">
        <v>226</v>
      </c>
      <c r="H30" s="192">
        <f t="shared" si="0"/>
        <v>0</v>
      </c>
      <c r="I30" s="187" t="s">
        <v>226</v>
      </c>
      <c r="J30" s="192">
        <f t="shared" si="1"/>
        <v>0</v>
      </c>
      <c r="K30" s="188" t="s">
        <v>226</v>
      </c>
      <c r="L30" s="192">
        <f t="shared" si="2"/>
        <v>0</v>
      </c>
      <c r="M30" s="188" t="s">
        <v>226</v>
      </c>
      <c r="N30" s="192">
        <f t="shared" si="3"/>
        <v>0</v>
      </c>
      <c r="O30" s="188" t="s">
        <v>226</v>
      </c>
      <c r="P30" s="207">
        <f t="shared" si="4"/>
        <v>0</v>
      </c>
      <c r="Q30" s="188" t="s">
        <v>226</v>
      </c>
      <c r="R30" s="207">
        <f t="shared" si="5"/>
        <v>0</v>
      </c>
      <c r="S30" s="188" t="s">
        <v>226</v>
      </c>
      <c r="T30" s="207">
        <f t="shared" si="6"/>
        <v>0</v>
      </c>
      <c r="U30" s="188" t="s">
        <v>226</v>
      </c>
      <c r="V30" s="207">
        <f t="shared" si="7"/>
        <v>0</v>
      </c>
      <c r="W30" s="188" t="s">
        <v>226</v>
      </c>
      <c r="X30" s="207">
        <f t="shared" si="8"/>
        <v>0</v>
      </c>
      <c r="Y30" s="188" t="s">
        <v>226</v>
      </c>
      <c r="Z30" s="211">
        <f t="shared" si="9"/>
        <v>0</v>
      </c>
    </row>
    <row r="31" spans="1:26" ht="15.75" thickBot="1">
      <c r="A31" s="217">
        <v>29</v>
      </c>
      <c r="B31" s="183"/>
      <c r="C31" s="212"/>
      <c r="D31" s="184"/>
      <c r="E31" s="193"/>
      <c r="F31" s="186"/>
      <c r="G31" s="187" t="s">
        <v>226</v>
      </c>
      <c r="H31" s="186">
        <f t="shared" si="0"/>
        <v>0</v>
      </c>
      <c r="I31" s="187" t="s">
        <v>226</v>
      </c>
      <c r="J31" s="186">
        <f t="shared" si="1"/>
        <v>0</v>
      </c>
      <c r="K31" s="188" t="s">
        <v>226</v>
      </c>
      <c r="L31" s="186">
        <f t="shared" si="2"/>
        <v>0</v>
      </c>
      <c r="M31" s="188" t="s">
        <v>226</v>
      </c>
      <c r="N31" s="186">
        <f t="shared" si="3"/>
        <v>0</v>
      </c>
      <c r="O31" s="188" t="s">
        <v>226</v>
      </c>
      <c r="P31" s="206">
        <f t="shared" si="4"/>
        <v>0</v>
      </c>
      <c r="Q31" s="188" t="s">
        <v>226</v>
      </c>
      <c r="R31" s="206">
        <f t="shared" si="5"/>
        <v>0</v>
      </c>
      <c r="S31" s="188" t="s">
        <v>226</v>
      </c>
      <c r="T31" s="206">
        <f t="shared" si="6"/>
        <v>0</v>
      </c>
      <c r="U31" s="188" t="s">
        <v>226</v>
      </c>
      <c r="V31" s="206">
        <f t="shared" si="7"/>
        <v>0</v>
      </c>
      <c r="W31" s="188" t="s">
        <v>226</v>
      </c>
      <c r="X31" s="206">
        <f t="shared" si="8"/>
        <v>0</v>
      </c>
      <c r="Y31" s="188" t="s">
        <v>226</v>
      </c>
      <c r="Z31" s="210">
        <f t="shared" si="9"/>
        <v>0</v>
      </c>
    </row>
    <row r="32" spans="1:26" ht="15.75" thickBot="1">
      <c r="A32" s="218">
        <v>30</v>
      </c>
      <c r="B32" s="189"/>
      <c r="C32" s="213"/>
      <c r="D32" s="190"/>
      <c r="E32" s="191"/>
      <c r="F32" s="192"/>
      <c r="G32" s="187" t="s">
        <v>226</v>
      </c>
      <c r="H32" s="192">
        <f t="shared" si="0"/>
        <v>0</v>
      </c>
      <c r="I32" s="187" t="s">
        <v>226</v>
      </c>
      <c r="J32" s="192">
        <f t="shared" si="1"/>
        <v>0</v>
      </c>
      <c r="K32" s="188" t="s">
        <v>226</v>
      </c>
      <c r="L32" s="192">
        <f t="shared" si="2"/>
        <v>0</v>
      </c>
      <c r="M32" s="188" t="s">
        <v>226</v>
      </c>
      <c r="N32" s="192">
        <f t="shared" si="3"/>
        <v>0</v>
      </c>
      <c r="O32" s="188" t="s">
        <v>226</v>
      </c>
      <c r="P32" s="207">
        <f t="shared" si="4"/>
        <v>0</v>
      </c>
      <c r="Q32" s="188" t="s">
        <v>226</v>
      </c>
      <c r="R32" s="207">
        <f t="shared" si="5"/>
        <v>0</v>
      </c>
      <c r="S32" s="188" t="s">
        <v>226</v>
      </c>
      <c r="T32" s="207">
        <f t="shared" si="6"/>
        <v>0</v>
      </c>
      <c r="U32" s="188" t="s">
        <v>226</v>
      </c>
      <c r="V32" s="207">
        <f t="shared" si="7"/>
        <v>0</v>
      </c>
      <c r="W32" s="188" t="s">
        <v>226</v>
      </c>
      <c r="X32" s="207">
        <f t="shared" si="8"/>
        <v>0</v>
      </c>
      <c r="Y32" s="188" t="s">
        <v>226</v>
      </c>
      <c r="Z32" s="211">
        <f t="shared" si="9"/>
        <v>0</v>
      </c>
    </row>
    <row r="33" spans="1:26" ht="15.75" thickBot="1">
      <c r="A33" s="217">
        <v>31</v>
      </c>
      <c r="B33" s="183"/>
      <c r="C33" s="212"/>
      <c r="D33" s="184"/>
      <c r="E33" s="193"/>
      <c r="F33" s="186"/>
      <c r="G33" s="187" t="s">
        <v>226</v>
      </c>
      <c r="H33" s="186">
        <f t="shared" si="0"/>
        <v>0</v>
      </c>
      <c r="I33" s="187" t="s">
        <v>226</v>
      </c>
      <c r="J33" s="186">
        <f t="shared" si="1"/>
        <v>0</v>
      </c>
      <c r="K33" s="188" t="s">
        <v>226</v>
      </c>
      <c r="L33" s="186">
        <f t="shared" si="2"/>
        <v>0</v>
      </c>
      <c r="M33" s="188" t="s">
        <v>226</v>
      </c>
      <c r="N33" s="186">
        <f t="shared" si="3"/>
        <v>0</v>
      </c>
      <c r="O33" s="188" t="s">
        <v>226</v>
      </c>
      <c r="P33" s="206">
        <f t="shared" si="4"/>
        <v>0</v>
      </c>
      <c r="Q33" s="188" t="s">
        <v>226</v>
      </c>
      <c r="R33" s="206">
        <f t="shared" si="5"/>
        <v>0</v>
      </c>
      <c r="S33" s="188" t="s">
        <v>226</v>
      </c>
      <c r="T33" s="206">
        <f t="shared" si="6"/>
        <v>0</v>
      </c>
      <c r="U33" s="188" t="s">
        <v>226</v>
      </c>
      <c r="V33" s="206">
        <f t="shared" si="7"/>
        <v>0</v>
      </c>
      <c r="W33" s="188" t="s">
        <v>226</v>
      </c>
      <c r="X33" s="206">
        <f t="shared" si="8"/>
        <v>0</v>
      </c>
      <c r="Y33" s="188" t="s">
        <v>226</v>
      </c>
      <c r="Z33" s="210">
        <f t="shared" si="9"/>
        <v>0</v>
      </c>
    </row>
    <row r="34" spans="1:26" ht="15.75" thickBot="1">
      <c r="A34" s="218">
        <v>32</v>
      </c>
      <c r="B34" s="189"/>
      <c r="C34" s="213"/>
      <c r="D34" s="190"/>
      <c r="E34" s="191"/>
      <c r="F34" s="192"/>
      <c r="G34" s="187" t="s">
        <v>226</v>
      </c>
      <c r="H34" s="192">
        <f t="shared" si="0"/>
        <v>0</v>
      </c>
      <c r="I34" s="187" t="s">
        <v>226</v>
      </c>
      <c r="J34" s="192">
        <f t="shared" si="1"/>
        <v>0</v>
      </c>
      <c r="K34" s="188" t="s">
        <v>226</v>
      </c>
      <c r="L34" s="192">
        <f t="shared" si="2"/>
        <v>0</v>
      </c>
      <c r="M34" s="188" t="s">
        <v>226</v>
      </c>
      <c r="N34" s="192">
        <f t="shared" si="3"/>
        <v>0</v>
      </c>
      <c r="O34" s="188" t="s">
        <v>226</v>
      </c>
      <c r="P34" s="207">
        <f t="shared" si="4"/>
        <v>0</v>
      </c>
      <c r="Q34" s="188" t="s">
        <v>226</v>
      </c>
      <c r="R34" s="207">
        <f t="shared" si="5"/>
        <v>0</v>
      </c>
      <c r="S34" s="188" t="s">
        <v>226</v>
      </c>
      <c r="T34" s="207">
        <f t="shared" si="6"/>
        <v>0</v>
      </c>
      <c r="U34" s="188" t="s">
        <v>226</v>
      </c>
      <c r="V34" s="207">
        <f t="shared" si="7"/>
        <v>0</v>
      </c>
      <c r="W34" s="188" t="s">
        <v>226</v>
      </c>
      <c r="X34" s="207">
        <f t="shared" si="8"/>
        <v>0</v>
      </c>
      <c r="Y34" s="188" t="s">
        <v>226</v>
      </c>
      <c r="Z34" s="211">
        <f t="shared" si="9"/>
        <v>0</v>
      </c>
    </row>
    <row r="35" spans="1:26" ht="15.75" thickBot="1">
      <c r="A35" s="217">
        <v>33</v>
      </c>
      <c r="B35" s="183"/>
      <c r="C35" s="212"/>
      <c r="D35" s="184"/>
      <c r="E35" s="193"/>
      <c r="F35" s="186"/>
      <c r="G35" s="187" t="s">
        <v>226</v>
      </c>
      <c r="H35" s="186">
        <f t="shared" si="0"/>
        <v>0</v>
      </c>
      <c r="I35" s="187" t="s">
        <v>226</v>
      </c>
      <c r="J35" s="186">
        <f t="shared" si="1"/>
        <v>0</v>
      </c>
      <c r="K35" s="188" t="s">
        <v>226</v>
      </c>
      <c r="L35" s="186">
        <f t="shared" si="2"/>
        <v>0</v>
      </c>
      <c r="M35" s="188" t="s">
        <v>226</v>
      </c>
      <c r="N35" s="186">
        <f t="shared" si="3"/>
        <v>0</v>
      </c>
      <c r="O35" s="188" t="s">
        <v>226</v>
      </c>
      <c r="P35" s="206">
        <f t="shared" si="4"/>
        <v>0</v>
      </c>
      <c r="Q35" s="188" t="s">
        <v>226</v>
      </c>
      <c r="R35" s="206">
        <f t="shared" si="5"/>
        <v>0</v>
      </c>
      <c r="S35" s="188" t="s">
        <v>226</v>
      </c>
      <c r="T35" s="206">
        <f t="shared" si="6"/>
        <v>0</v>
      </c>
      <c r="U35" s="188" t="s">
        <v>226</v>
      </c>
      <c r="V35" s="206">
        <f t="shared" si="7"/>
        <v>0</v>
      </c>
      <c r="W35" s="188" t="s">
        <v>226</v>
      </c>
      <c r="X35" s="206">
        <f t="shared" si="8"/>
        <v>0</v>
      </c>
      <c r="Y35" s="188" t="s">
        <v>226</v>
      </c>
      <c r="Z35" s="210">
        <f t="shared" si="9"/>
        <v>0</v>
      </c>
    </row>
    <row r="36" spans="1:26" ht="15.75" thickBot="1">
      <c r="A36" s="218">
        <v>34</v>
      </c>
      <c r="B36" s="189"/>
      <c r="C36" s="213"/>
      <c r="D36" s="190"/>
      <c r="E36" s="191"/>
      <c r="F36" s="192"/>
      <c r="G36" s="187" t="s">
        <v>226</v>
      </c>
      <c r="H36" s="192">
        <f t="shared" si="0"/>
        <v>0</v>
      </c>
      <c r="I36" s="187" t="s">
        <v>226</v>
      </c>
      <c r="J36" s="192">
        <f t="shared" si="1"/>
        <v>0</v>
      </c>
      <c r="K36" s="188" t="s">
        <v>226</v>
      </c>
      <c r="L36" s="192">
        <f t="shared" si="2"/>
        <v>0</v>
      </c>
      <c r="M36" s="188" t="s">
        <v>226</v>
      </c>
      <c r="N36" s="192">
        <f t="shared" si="3"/>
        <v>0</v>
      </c>
      <c r="O36" s="188" t="s">
        <v>226</v>
      </c>
      <c r="P36" s="207">
        <f t="shared" si="4"/>
        <v>0</v>
      </c>
      <c r="Q36" s="188" t="s">
        <v>226</v>
      </c>
      <c r="R36" s="207">
        <f t="shared" si="5"/>
        <v>0</v>
      </c>
      <c r="S36" s="188" t="s">
        <v>226</v>
      </c>
      <c r="T36" s="207">
        <f t="shared" si="6"/>
        <v>0</v>
      </c>
      <c r="U36" s="188" t="s">
        <v>226</v>
      </c>
      <c r="V36" s="207">
        <f t="shared" si="7"/>
        <v>0</v>
      </c>
      <c r="W36" s="188" t="s">
        <v>226</v>
      </c>
      <c r="X36" s="207">
        <f t="shared" si="8"/>
        <v>0</v>
      </c>
      <c r="Y36" s="188" t="s">
        <v>226</v>
      </c>
      <c r="Z36" s="211">
        <f t="shared" si="9"/>
        <v>0</v>
      </c>
    </row>
    <row r="37" spans="1:26" ht="15.75" thickBot="1">
      <c r="A37" s="217">
        <v>35</v>
      </c>
      <c r="B37" s="183"/>
      <c r="C37" s="212"/>
      <c r="D37" s="184"/>
      <c r="E37" s="193"/>
      <c r="F37" s="186"/>
      <c r="G37" s="187" t="s">
        <v>226</v>
      </c>
      <c r="H37" s="186">
        <f t="shared" si="0"/>
        <v>0</v>
      </c>
      <c r="I37" s="187" t="s">
        <v>226</v>
      </c>
      <c r="J37" s="186">
        <f t="shared" si="1"/>
        <v>0</v>
      </c>
      <c r="K37" s="188" t="s">
        <v>226</v>
      </c>
      <c r="L37" s="186">
        <f t="shared" si="2"/>
        <v>0</v>
      </c>
      <c r="M37" s="188" t="s">
        <v>226</v>
      </c>
      <c r="N37" s="186">
        <f t="shared" si="3"/>
        <v>0</v>
      </c>
      <c r="O37" s="188" t="s">
        <v>226</v>
      </c>
      <c r="P37" s="206">
        <f t="shared" si="4"/>
        <v>0</v>
      </c>
      <c r="Q37" s="188" t="s">
        <v>226</v>
      </c>
      <c r="R37" s="206">
        <f t="shared" si="5"/>
        <v>0</v>
      </c>
      <c r="S37" s="188" t="s">
        <v>226</v>
      </c>
      <c r="T37" s="206">
        <f t="shared" si="6"/>
        <v>0</v>
      </c>
      <c r="U37" s="188" t="s">
        <v>226</v>
      </c>
      <c r="V37" s="206">
        <f t="shared" si="7"/>
        <v>0</v>
      </c>
      <c r="W37" s="188" t="s">
        <v>226</v>
      </c>
      <c r="X37" s="206">
        <f t="shared" si="8"/>
        <v>0</v>
      </c>
      <c r="Y37" s="188" t="s">
        <v>226</v>
      </c>
      <c r="Z37" s="210">
        <f t="shared" si="9"/>
        <v>0</v>
      </c>
    </row>
    <row r="38" spans="1:26" ht="15.75" thickBot="1">
      <c r="A38" s="219">
        <v>36</v>
      </c>
      <c r="B38" s="194"/>
      <c r="C38" s="214"/>
      <c r="D38" s="195"/>
      <c r="E38" s="196"/>
      <c r="F38" s="197"/>
      <c r="G38" s="198" t="s">
        <v>226</v>
      </c>
      <c r="H38" s="192">
        <f t="shared" si="0"/>
        <v>0</v>
      </c>
      <c r="I38" s="187" t="s">
        <v>226</v>
      </c>
      <c r="J38" s="192">
        <f t="shared" si="1"/>
        <v>0</v>
      </c>
      <c r="K38" s="188" t="s">
        <v>226</v>
      </c>
      <c r="L38" s="192">
        <f t="shared" si="2"/>
        <v>0</v>
      </c>
      <c r="M38" s="188" t="s">
        <v>226</v>
      </c>
      <c r="N38" s="192">
        <f t="shared" si="3"/>
        <v>0</v>
      </c>
      <c r="O38" s="188" t="s">
        <v>226</v>
      </c>
      <c r="P38" s="207">
        <f t="shared" si="4"/>
        <v>0</v>
      </c>
      <c r="Q38" s="188" t="s">
        <v>226</v>
      </c>
      <c r="R38" s="207">
        <f t="shared" si="5"/>
        <v>0</v>
      </c>
      <c r="S38" s="188" t="s">
        <v>226</v>
      </c>
      <c r="T38" s="207">
        <f t="shared" si="6"/>
        <v>0</v>
      </c>
      <c r="U38" s="188" t="s">
        <v>226</v>
      </c>
      <c r="V38" s="207">
        <f t="shared" si="7"/>
        <v>0</v>
      </c>
      <c r="W38" s="188" t="s">
        <v>226</v>
      </c>
      <c r="X38" s="207">
        <f t="shared" si="8"/>
        <v>0</v>
      </c>
      <c r="Y38" s="188" t="s">
        <v>226</v>
      </c>
      <c r="Z38" s="211">
        <f t="shared" si="9"/>
        <v>0</v>
      </c>
    </row>
    <row r="39" spans="1:26">
      <c r="A39" s="220">
        <v>37</v>
      </c>
      <c r="B39" s="199"/>
      <c r="C39" s="215"/>
      <c r="D39" s="200"/>
      <c r="E39" s="200"/>
      <c r="F39" s="200"/>
      <c r="G39" s="201" t="s">
        <v>226</v>
      </c>
      <c r="H39" s="200"/>
      <c r="I39" s="201" t="s">
        <v>226</v>
      </c>
      <c r="J39" s="200"/>
      <c r="K39" s="201" t="s">
        <v>226</v>
      </c>
      <c r="L39" s="200"/>
      <c r="M39" s="201" t="s">
        <v>226</v>
      </c>
      <c r="N39" s="200"/>
      <c r="O39" s="201" t="s">
        <v>226</v>
      </c>
      <c r="P39" s="208"/>
      <c r="Q39" s="201" t="s">
        <v>226</v>
      </c>
      <c r="R39" s="203"/>
      <c r="S39" s="201" t="s">
        <v>226</v>
      </c>
      <c r="T39" s="208"/>
      <c r="U39" s="201" t="s">
        <v>226</v>
      </c>
      <c r="V39" s="208"/>
      <c r="W39" s="201" t="s">
        <v>226</v>
      </c>
      <c r="X39" s="208"/>
      <c r="Y39" s="201" t="s">
        <v>226</v>
      </c>
      <c r="Z39" s="208"/>
    </row>
    <row r="40" spans="1:26">
      <c r="A40" s="221">
        <v>38</v>
      </c>
      <c r="B40" s="183"/>
      <c r="C40" s="216"/>
      <c r="D40" s="68"/>
      <c r="E40" s="68"/>
      <c r="F40" s="68"/>
      <c r="G40" s="202" t="s">
        <v>226</v>
      </c>
      <c r="H40" s="68"/>
      <c r="I40" s="202" t="s">
        <v>226</v>
      </c>
      <c r="J40" s="68"/>
      <c r="K40" s="202" t="s">
        <v>226</v>
      </c>
      <c r="L40" s="68"/>
      <c r="M40" s="202" t="s">
        <v>226</v>
      </c>
      <c r="N40" s="68"/>
      <c r="O40" s="202" t="s">
        <v>226</v>
      </c>
      <c r="P40" s="209"/>
      <c r="Q40" s="202" t="s">
        <v>226</v>
      </c>
      <c r="R40" s="204"/>
      <c r="S40" s="202" t="s">
        <v>226</v>
      </c>
      <c r="T40" s="209"/>
      <c r="U40" s="202" t="s">
        <v>226</v>
      </c>
      <c r="V40" s="209"/>
      <c r="W40" s="202" t="s">
        <v>226</v>
      </c>
      <c r="X40" s="209"/>
      <c r="Y40" s="202" t="s">
        <v>226</v>
      </c>
      <c r="Z40" s="209"/>
    </row>
    <row r="41" spans="1:26">
      <c r="A41" s="221">
        <v>39</v>
      </c>
      <c r="B41" s="183"/>
      <c r="C41" s="216"/>
      <c r="D41" s="68"/>
      <c r="E41" s="68"/>
      <c r="F41" s="68"/>
      <c r="G41" s="202" t="s">
        <v>226</v>
      </c>
      <c r="H41" s="68"/>
      <c r="I41" s="202" t="s">
        <v>226</v>
      </c>
      <c r="J41" s="68"/>
      <c r="K41" s="202" t="s">
        <v>226</v>
      </c>
      <c r="L41" s="68"/>
      <c r="M41" s="202" t="s">
        <v>226</v>
      </c>
      <c r="N41" s="68"/>
      <c r="O41" s="202" t="s">
        <v>226</v>
      </c>
      <c r="P41" s="209"/>
      <c r="Q41" s="202" t="s">
        <v>226</v>
      </c>
      <c r="R41" s="204"/>
      <c r="S41" s="202" t="s">
        <v>226</v>
      </c>
      <c r="T41" s="209"/>
      <c r="U41" s="202" t="s">
        <v>226</v>
      </c>
      <c r="V41" s="209"/>
      <c r="W41" s="202" t="s">
        <v>226</v>
      </c>
      <c r="X41" s="209"/>
      <c r="Y41" s="202" t="s">
        <v>226</v>
      </c>
      <c r="Z41" s="209"/>
    </row>
    <row r="42" spans="1:26">
      <c r="A42" s="221">
        <v>40</v>
      </c>
      <c r="B42" s="183"/>
      <c r="C42" s="216"/>
      <c r="D42" s="68"/>
      <c r="E42" s="68"/>
      <c r="F42" s="68"/>
      <c r="G42" s="202" t="s">
        <v>226</v>
      </c>
      <c r="H42" s="68"/>
      <c r="I42" s="202" t="s">
        <v>226</v>
      </c>
      <c r="J42" s="68"/>
      <c r="K42" s="202" t="s">
        <v>226</v>
      </c>
      <c r="L42" s="68"/>
      <c r="M42" s="202" t="s">
        <v>226</v>
      </c>
      <c r="N42" s="68"/>
      <c r="O42" s="202" t="s">
        <v>226</v>
      </c>
      <c r="P42" s="209"/>
      <c r="Q42" s="202" t="s">
        <v>226</v>
      </c>
      <c r="R42" s="204"/>
      <c r="S42" s="202" t="s">
        <v>226</v>
      </c>
      <c r="T42" s="209"/>
      <c r="U42" s="202" t="s">
        <v>226</v>
      </c>
      <c r="V42" s="209"/>
      <c r="W42" s="202" t="s">
        <v>226</v>
      </c>
      <c r="X42" s="209"/>
      <c r="Y42" s="202" t="s">
        <v>226</v>
      </c>
      <c r="Z42" s="209"/>
    </row>
    <row r="43" spans="1:26">
      <c r="A43" s="221">
        <v>41</v>
      </c>
      <c r="B43" s="183"/>
      <c r="C43" s="216"/>
      <c r="D43" s="68"/>
      <c r="E43" s="68"/>
      <c r="F43" s="68"/>
      <c r="G43" s="202" t="s">
        <v>226</v>
      </c>
      <c r="H43" s="68"/>
      <c r="I43" s="202" t="s">
        <v>226</v>
      </c>
      <c r="J43" s="68"/>
      <c r="K43" s="202" t="s">
        <v>226</v>
      </c>
      <c r="L43" s="68"/>
      <c r="M43" s="202" t="s">
        <v>226</v>
      </c>
      <c r="N43" s="68"/>
      <c r="O43" s="202" t="s">
        <v>226</v>
      </c>
      <c r="P43" s="209"/>
      <c r="Q43" s="202" t="s">
        <v>226</v>
      </c>
      <c r="R43" s="204"/>
      <c r="S43" s="202" t="s">
        <v>226</v>
      </c>
      <c r="T43" s="204"/>
      <c r="U43" s="202" t="s">
        <v>226</v>
      </c>
      <c r="V43" s="209"/>
      <c r="W43" s="202" t="s">
        <v>226</v>
      </c>
      <c r="X43" s="209"/>
      <c r="Y43" s="202" t="s">
        <v>226</v>
      </c>
      <c r="Z43" s="209"/>
    </row>
    <row r="44" spans="1:26">
      <c r="A44" s="221">
        <v>42</v>
      </c>
      <c r="B44" s="183"/>
      <c r="C44" s="183"/>
      <c r="D44" s="68"/>
      <c r="E44" s="68"/>
      <c r="F44" s="68"/>
      <c r="G44" s="202" t="s">
        <v>226</v>
      </c>
      <c r="H44" s="68"/>
      <c r="I44" s="202" t="s">
        <v>226</v>
      </c>
      <c r="J44" s="68"/>
      <c r="K44" s="202" t="s">
        <v>226</v>
      </c>
      <c r="L44" s="68"/>
      <c r="M44" s="202" t="s">
        <v>226</v>
      </c>
      <c r="N44" s="68"/>
      <c r="O44" s="202" t="s">
        <v>226</v>
      </c>
      <c r="P44" s="209"/>
      <c r="Q44" s="202" t="s">
        <v>226</v>
      </c>
      <c r="R44" s="204"/>
      <c r="S44" s="202" t="s">
        <v>226</v>
      </c>
      <c r="T44" s="204"/>
      <c r="U44" s="202" t="s">
        <v>226</v>
      </c>
      <c r="V44" s="209"/>
      <c r="W44" s="202" t="s">
        <v>226</v>
      </c>
      <c r="X44" s="209"/>
      <c r="Y44" s="202" t="s">
        <v>226</v>
      </c>
      <c r="Z44" s="209"/>
    </row>
    <row r="45" spans="1:26">
      <c r="A45" s="221">
        <v>43</v>
      </c>
      <c r="B45" s="183"/>
      <c r="C45" s="183"/>
      <c r="D45" s="68"/>
      <c r="E45" s="68"/>
      <c r="F45" s="68"/>
      <c r="G45" s="202" t="s">
        <v>226</v>
      </c>
      <c r="H45" s="68"/>
      <c r="I45" s="202" t="s">
        <v>226</v>
      </c>
      <c r="J45" s="68"/>
      <c r="K45" s="202" t="s">
        <v>226</v>
      </c>
      <c r="L45" s="68"/>
      <c r="M45" s="202" t="s">
        <v>226</v>
      </c>
      <c r="N45" s="68"/>
      <c r="O45" s="202" t="s">
        <v>226</v>
      </c>
      <c r="P45" s="209"/>
      <c r="Q45" s="202" t="s">
        <v>226</v>
      </c>
      <c r="R45" s="204"/>
      <c r="S45" s="202" t="s">
        <v>226</v>
      </c>
      <c r="T45" s="204"/>
      <c r="U45" s="202" t="s">
        <v>226</v>
      </c>
      <c r="V45" s="209"/>
      <c r="W45" s="202" t="s">
        <v>226</v>
      </c>
      <c r="X45" s="209"/>
      <c r="Y45" s="202" t="s">
        <v>226</v>
      </c>
      <c r="Z45" s="209"/>
    </row>
    <row r="46" spans="1:26">
      <c r="A46" s="221">
        <v>44</v>
      </c>
      <c r="B46" s="183"/>
      <c r="C46" s="183"/>
      <c r="D46" s="68"/>
      <c r="E46" s="68"/>
      <c r="F46" s="68"/>
      <c r="G46" s="202" t="s">
        <v>226</v>
      </c>
      <c r="H46" s="68"/>
      <c r="I46" s="202" t="s">
        <v>226</v>
      </c>
      <c r="J46" s="68"/>
      <c r="K46" s="202" t="s">
        <v>226</v>
      </c>
      <c r="L46" s="68"/>
      <c r="M46" s="202" t="s">
        <v>226</v>
      </c>
      <c r="N46" s="68"/>
      <c r="O46" s="202" t="s">
        <v>226</v>
      </c>
      <c r="P46" s="209"/>
      <c r="Q46" s="202" t="s">
        <v>226</v>
      </c>
      <c r="R46" s="204"/>
      <c r="S46" s="202" t="s">
        <v>226</v>
      </c>
      <c r="T46" s="204"/>
      <c r="U46" s="202" t="s">
        <v>226</v>
      </c>
      <c r="V46" s="209"/>
      <c r="W46" s="202" t="s">
        <v>226</v>
      </c>
      <c r="X46" s="209"/>
      <c r="Y46" s="202" t="s">
        <v>226</v>
      </c>
      <c r="Z46" s="209"/>
    </row>
    <row r="47" spans="1:26">
      <c r="A47" s="221">
        <v>45</v>
      </c>
      <c r="B47" s="183"/>
      <c r="C47" s="183"/>
      <c r="D47" s="68"/>
      <c r="E47" s="68"/>
      <c r="F47" s="68"/>
      <c r="G47" s="202" t="s">
        <v>226</v>
      </c>
      <c r="H47" s="68"/>
      <c r="I47" s="202" t="s">
        <v>226</v>
      </c>
      <c r="J47" s="68"/>
      <c r="K47" s="202" t="s">
        <v>226</v>
      </c>
      <c r="L47" s="68"/>
      <c r="M47" s="202" t="s">
        <v>226</v>
      </c>
      <c r="N47" s="68"/>
      <c r="O47" s="202" t="s">
        <v>226</v>
      </c>
      <c r="P47" s="209"/>
      <c r="Q47" s="202" t="s">
        <v>226</v>
      </c>
      <c r="R47" s="204"/>
      <c r="S47" s="202" t="s">
        <v>226</v>
      </c>
      <c r="T47" s="204"/>
      <c r="U47" s="202" t="s">
        <v>226</v>
      </c>
      <c r="V47" s="209"/>
      <c r="W47" s="202" t="s">
        <v>226</v>
      </c>
      <c r="X47" s="209"/>
      <c r="Y47" s="202" t="s">
        <v>226</v>
      </c>
      <c r="Z47" s="209"/>
    </row>
    <row r="48" spans="1:26">
      <c r="A48" s="221">
        <v>46</v>
      </c>
      <c r="B48" s="183"/>
      <c r="C48" s="183"/>
      <c r="D48" s="68"/>
      <c r="E48" s="68"/>
      <c r="F48" s="68"/>
      <c r="G48" s="202" t="s">
        <v>226</v>
      </c>
      <c r="H48" s="68"/>
      <c r="I48" s="202" t="s">
        <v>226</v>
      </c>
      <c r="J48" s="68"/>
      <c r="K48" s="202" t="s">
        <v>226</v>
      </c>
      <c r="L48" s="68"/>
      <c r="M48" s="202" t="s">
        <v>226</v>
      </c>
      <c r="N48" s="68"/>
      <c r="O48" s="202" t="s">
        <v>226</v>
      </c>
      <c r="P48" s="209"/>
      <c r="Q48" s="202" t="s">
        <v>226</v>
      </c>
      <c r="R48" s="204"/>
      <c r="S48" s="202" t="s">
        <v>226</v>
      </c>
      <c r="T48" s="204"/>
      <c r="U48" s="202" t="s">
        <v>226</v>
      </c>
      <c r="V48" s="209"/>
      <c r="W48" s="202" t="s">
        <v>226</v>
      </c>
      <c r="X48" s="209"/>
      <c r="Y48" s="202" t="s">
        <v>226</v>
      </c>
      <c r="Z48" s="209"/>
    </row>
    <row r="49" spans="1:26">
      <c r="A49" s="221">
        <v>47</v>
      </c>
      <c r="B49" s="183"/>
      <c r="C49" s="183"/>
      <c r="D49" s="68"/>
      <c r="E49" s="68"/>
      <c r="F49" s="68"/>
      <c r="G49" s="202" t="s">
        <v>226</v>
      </c>
      <c r="H49" s="68"/>
      <c r="I49" s="202" t="s">
        <v>226</v>
      </c>
      <c r="J49" s="68"/>
      <c r="K49" s="202" t="s">
        <v>226</v>
      </c>
      <c r="L49" s="68"/>
      <c r="M49" s="202" t="s">
        <v>226</v>
      </c>
      <c r="N49" s="68"/>
      <c r="O49" s="202" t="s">
        <v>226</v>
      </c>
      <c r="P49" s="204"/>
      <c r="Q49" s="202" t="s">
        <v>226</v>
      </c>
      <c r="R49" s="204"/>
      <c r="S49" s="202" t="s">
        <v>226</v>
      </c>
      <c r="T49" s="204"/>
      <c r="U49" s="202" t="s">
        <v>226</v>
      </c>
      <c r="V49" s="204"/>
      <c r="W49" s="202" t="s">
        <v>226</v>
      </c>
      <c r="X49" s="204"/>
      <c r="Y49" s="202" t="s">
        <v>226</v>
      </c>
      <c r="Z49" s="209"/>
    </row>
    <row r="50" spans="1:26">
      <c r="A50" s="221">
        <v>48</v>
      </c>
      <c r="B50" s="183"/>
      <c r="C50" s="183"/>
      <c r="D50" s="68"/>
      <c r="E50" s="68"/>
      <c r="F50" s="68"/>
      <c r="G50" s="202" t="s">
        <v>226</v>
      </c>
      <c r="H50" s="68"/>
      <c r="I50" s="202" t="s">
        <v>226</v>
      </c>
      <c r="J50" s="68"/>
      <c r="K50" s="202" t="s">
        <v>226</v>
      </c>
      <c r="L50" s="68"/>
      <c r="M50" s="202" t="s">
        <v>226</v>
      </c>
      <c r="N50" s="68"/>
      <c r="O50" s="202" t="s">
        <v>226</v>
      </c>
      <c r="P50" s="204"/>
      <c r="Q50" s="202" t="s">
        <v>226</v>
      </c>
      <c r="R50" s="204"/>
      <c r="S50" s="202" t="s">
        <v>226</v>
      </c>
      <c r="T50" s="204"/>
      <c r="U50" s="202" t="s">
        <v>226</v>
      </c>
      <c r="V50" s="204"/>
      <c r="W50" s="202" t="s">
        <v>226</v>
      </c>
      <c r="X50" s="204"/>
      <c r="Y50" s="202" t="s">
        <v>226</v>
      </c>
      <c r="Z50" s="204"/>
    </row>
    <row r="51" spans="1:26">
      <c r="A51" s="221">
        <v>49</v>
      </c>
      <c r="B51" s="183"/>
      <c r="C51" s="183"/>
      <c r="D51" s="68"/>
      <c r="E51" s="68"/>
      <c r="F51" s="68"/>
      <c r="G51" s="202" t="s">
        <v>226</v>
      </c>
      <c r="H51" s="68"/>
      <c r="I51" s="202" t="s">
        <v>226</v>
      </c>
      <c r="J51" s="68"/>
      <c r="K51" s="202" t="s">
        <v>226</v>
      </c>
      <c r="L51" s="68"/>
      <c r="M51" s="202" t="s">
        <v>226</v>
      </c>
      <c r="N51" s="68"/>
      <c r="O51" s="202" t="s">
        <v>226</v>
      </c>
      <c r="P51" s="204"/>
      <c r="Q51" s="202" t="s">
        <v>226</v>
      </c>
      <c r="R51" s="204"/>
      <c r="S51" s="202" t="s">
        <v>226</v>
      </c>
      <c r="T51" s="204"/>
      <c r="U51" s="202" t="s">
        <v>226</v>
      </c>
      <c r="V51" s="204"/>
      <c r="W51" s="202" t="s">
        <v>226</v>
      </c>
      <c r="X51" s="204"/>
      <c r="Y51" s="202" t="s">
        <v>226</v>
      </c>
      <c r="Z51" s="204"/>
    </row>
    <row r="52" spans="1:26">
      <c r="A52" s="221">
        <v>50</v>
      </c>
      <c r="B52" s="183"/>
      <c r="C52" s="183"/>
      <c r="D52" s="68"/>
      <c r="E52" s="68"/>
      <c r="F52" s="68"/>
      <c r="G52" s="202" t="s">
        <v>226</v>
      </c>
      <c r="H52" s="68"/>
      <c r="I52" s="202" t="s">
        <v>226</v>
      </c>
      <c r="J52" s="68"/>
      <c r="K52" s="202" t="s">
        <v>226</v>
      </c>
      <c r="L52" s="68"/>
      <c r="M52" s="202" t="s">
        <v>226</v>
      </c>
      <c r="N52" s="68"/>
      <c r="O52" s="202" t="s">
        <v>226</v>
      </c>
      <c r="P52" s="204"/>
      <c r="Q52" s="202" t="s">
        <v>226</v>
      </c>
      <c r="R52" s="204"/>
      <c r="S52" s="202" t="s">
        <v>226</v>
      </c>
      <c r="T52" s="204"/>
      <c r="U52" s="202" t="s">
        <v>226</v>
      </c>
      <c r="V52" s="204"/>
      <c r="W52" s="202" t="s">
        <v>226</v>
      </c>
      <c r="X52" s="204"/>
      <c r="Y52" s="202" t="s">
        <v>226</v>
      </c>
      <c r="Z52" s="204"/>
    </row>
    <row r="53" spans="1:26">
      <c r="A53" s="221">
        <v>51</v>
      </c>
      <c r="B53" s="183"/>
      <c r="C53" s="183"/>
      <c r="D53" s="68"/>
      <c r="E53" s="68"/>
      <c r="F53" s="68"/>
      <c r="G53" s="202" t="s">
        <v>226</v>
      </c>
      <c r="H53" s="68"/>
      <c r="I53" s="202" t="s">
        <v>226</v>
      </c>
      <c r="J53" s="68"/>
      <c r="K53" s="202" t="s">
        <v>226</v>
      </c>
      <c r="L53" s="68"/>
      <c r="M53" s="202" t="s">
        <v>226</v>
      </c>
      <c r="N53" s="68"/>
      <c r="O53" s="202" t="s">
        <v>226</v>
      </c>
      <c r="P53" s="204"/>
      <c r="Q53" s="202" t="s">
        <v>226</v>
      </c>
      <c r="R53" s="204"/>
      <c r="S53" s="202" t="s">
        <v>226</v>
      </c>
      <c r="T53" s="204"/>
      <c r="U53" s="202" t="s">
        <v>226</v>
      </c>
      <c r="V53" s="204"/>
      <c r="W53" s="202" t="s">
        <v>226</v>
      </c>
      <c r="X53" s="204"/>
      <c r="Y53" s="202" t="s">
        <v>226</v>
      </c>
      <c r="Z53" s="204"/>
    </row>
    <row r="54" spans="1:26">
      <c r="A54" s="221">
        <v>52</v>
      </c>
      <c r="B54" s="183"/>
      <c r="C54" s="183"/>
      <c r="D54" s="68"/>
      <c r="E54" s="68"/>
      <c r="F54" s="68"/>
      <c r="G54" s="202" t="s">
        <v>226</v>
      </c>
      <c r="H54" s="68"/>
      <c r="I54" s="202" t="s">
        <v>226</v>
      </c>
      <c r="J54" s="68"/>
      <c r="K54" s="202" t="s">
        <v>226</v>
      </c>
      <c r="L54" s="68"/>
      <c r="M54" s="202" t="s">
        <v>226</v>
      </c>
      <c r="N54" s="68"/>
      <c r="O54" s="202" t="s">
        <v>226</v>
      </c>
      <c r="P54" s="204"/>
      <c r="Q54" s="202" t="s">
        <v>226</v>
      </c>
      <c r="R54" s="204"/>
      <c r="S54" s="202" t="s">
        <v>226</v>
      </c>
      <c r="T54" s="204"/>
      <c r="U54" s="202" t="s">
        <v>226</v>
      </c>
      <c r="V54" s="204"/>
      <c r="W54" s="202" t="s">
        <v>226</v>
      </c>
      <c r="X54" s="204"/>
      <c r="Y54" s="202" t="s">
        <v>226</v>
      </c>
      <c r="Z54" s="204"/>
    </row>
    <row r="55" spans="1:26">
      <c r="A55" s="221">
        <v>53</v>
      </c>
      <c r="B55" s="183"/>
      <c r="C55" s="183"/>
      <c r="D55" s="68"/>
      <c r="E55" s="68"/>
      <c r="F55" s="68"/>
      <c r="G55" s="202" t="s">
        <v>226</v>
      </c>
      <c r="H55" s="68"/>
      <c r="I55" s="202" t="s">
        <v>226</v>
      </c>
      <c r="J55" s="68"/>
      <c r="K55" s="202" t="s">
        <v>226</v>
      </c>
      <c r="L55" s="68"/>
      <c r="M55" s="202" t="s">
        <v>226</v>
      </c>
      <c r="N55" s="68"/>
      <c r="O55" s="202" t="s">
        <v>226</v>
      </c>
      <c r="P55" s="204"/>
      <c r="Q55" s="202" t="s">
        <v>226</v>
      </c>
      <c r="R55" s="204"/>
      <c r="S55" s="202" t="s">
        <v>226</v>
      </c>
      <c r="T55" s="204"/>
      <c r="U55" s="202" t="s">
        <v>226</v>
      </c>
      <c r="V55" s="204"/>
      <c r="W55" s="202" t="s">
        <v>226</v>
      </c>
      <c r="X55" s="204"/>
      <c r="Y55" s="202" t="s">
        <v>226</v>
      </c>
      <c r="Z55" s="204"/>
    </row>
    <row r="56" spans="1:26">
      <c r="A56" s="221">
        <v>54</v>
      </c>
      <c r="B56" s="183"/>
      <c r="C56" s="183"/>
      <c r="D56" s="68"/>
      <c r="E56" s="68"/>
      <c r="F56" s="68"/>
      <c r="G56" s="202" t="s">
        <v>226</v>
      </c>
      <c r="H56" s="68"/>
      <c r="I56" s="202" t="s">
        <v>226</v>
      </c>
      <c r="J56" s="68"/>
      <c r="K56" s="202" t="s">
        <v>226</v>
      </c>
      <c r="L56" s="68"/>
      <c r="M56" s="202" t="s">
        <v>226</v>
      </c>
      <c r="N56" s="68"/>
      <c r="O56" s="202" t="s">
        <v>226</v>
      </c>
      <c r="P56" s="204"/>
      <c r="Q56" s="202" t="s">
        <v>226</v>
      </c>
      <c r="R56" s="204"/>
      <c r="S56" s="202" t="s">
        <v>226</v>
      </c>
      <c r="T56" s="204"/>
      <c r="U56" s="202" t="s">
        <v>226</v>
      </c>
      <c r="V56" s="204"/>
      <c r="W56" s="202" t="s">
        <v>226</v>
      </c>
      <c r="X56" s="204"/>
      <c r="Y56" s="202" t="s">
        <v>226</v>
      </c>
      <c r="Z56" s="204"/>
    </row>
    <row r="57" spans="1:26">
      <c r="A57" s="221">
        <v>55</v>
      </c>
      <c r="B57" s="183"/>
      <c r="C57" s="183"/>
      <c r="D57" s="68"/>
      <c r="E57" s="68"/>
      <c r="F57" s="68"/>
      <c r="G57" s="202" t="s">
        <v>226</v>
      </c>
      <c r="H57" s="68"/>
      <c r="I57" s="202" t="s">
        <v>226</v>
      </c>
      <c r="J57" s="68"/>
      <c r="K57" s="202" t="s">
        <v>226</v>
      </c>
      <c r="L57" s="68"/>
      <c r="M57" s="202" t="s">
        <v>226</v>
      </c>
      <c r="N57" s="68"/>
      <c r="O57" s="202" t="s">
        <v>226</v>
      </c>
      <c r="P57" s="204"/>
      <c r="Q57" s="202" t="s">
        <v>226</v>
      </c>
      <c r="R57" s="204"/>
      <c r="S57" s="202" t="s">
        <v>226</v>
      </c>
      <c r="T57" s="204"/>
      <c r="U57" s="202" t="s">
        <v>226</v>
      </c>
      <c r="V57" s="204"/>
      <c r="W57" s="202" t="s">
        <v>226</v>
      </c>
      <c r="X57" s="204"/>
      <c r="Y57" s="202" t="s">
        <v>226</v>
      </c>
      <c r="Z57" s="204"/>
    </row>
    <row r="58" spans="1:26">
      <c r="A58" s="221">
        <v>56</v>
      </c>
      <c r="B58" s="183"/>
      <c r="C58" s="183"/>
      <c r="D58" s="68"/>
      <c r="E58" s="68"/>
      <c r="F58" s="68"/>
      <c r="G58" s="202" t="s">
        <v>226</v>
      </c>
      <c r="H58" s="68"/>
      <c r="I58" s="202" t="s">
        <v>226</v>
      </c>
      <c r="J58" s="68"/>
      <c r="K58" s="202" t="s">
        <v>226</v>
      </c>
      <c r="L58" s="68"/>
      <c r="M58" s="202" t="s">
        <v>226</v>
      </c>
      <c r="N58" s="68"/>
      <c r="O58" s="202" t="s">
        <v>226</v>
      </c>
      <c r="P58" s="204"/>
      <c r="Q58" s="202" t="s">
        <v>226</v>
      </c>
      <c r="R58" s="204"/>
      <c r="S58" s="202" t="s">
        <v>226</v>
      </c>
      <c r="T58" s="204"/>
      <c r="U58" s="202" t="s">
        <v>226</v>
      </c>
      <c r="V58" s="204"/>
      <c r="W58" s="202" t="s">
        <v>226</v>
      </c>
      <c r="X58" s="204"/>
      <c r="Y58" s="202" t="s">
        <v>226</v>
      </c>
      <c r="Z58" s="204"/>
    </row>
    <row r="59" spans="1:26">
      <c r="A59" s="221">
        <v>57</v>
      </c>
      <c r="B59" s="183"/>
      <c r="C59" s="183"/>
      <c r="D59" s="68"/>
      <c r="E59" s="68"/>
      <c r="F59" s="68"/>
      <c r="G59" s="202" t="s">
        <v>226</v>
      </c>
      <c r="H59" s="68"/>
      <c r="I59" s="202" t="s">
        <v>226</v>
      </c>
      <c r="J59" s="68"/>
      <c r="K59" s="202" t="s">
        <v>226</v>
      </c>
      <c r="L59" s="68"/>
      <c r="M59" s="202" t="s">
        <v>226</v>
      </c>
      <c r="N59" s="68"/>
      <c r="O59" s="202" t="s">
        <v>226</v>
      </c>
      <c r="P59" s="204"/>
      <c r="Q59" s="202" t="s">
        <v>226</v>
      </c>
      <c r="R59" s="204"/>
      <c r="S59" s="202" t="s">
        <v>226</v>
      </c>
      <c r="T59" s="204"/>
      <c r="U59" s="202" t="s">
        <v>226</v>
      </c>
      <c r="V59" s="204"/>
      <c r="W59" s="202" t="s">
        <v>226</v>
      </c>
      <c r="X59" s="204"/>
      <c r="Y59" s="202" t="s">
        <v>226</v>
      </c>
      <c r="Z59" s="204"/>
    </row>
    <row r="60" spans="1:26">
      <c r="A60" s="221">
        <v>58</v>
      </c>
      <c r="B60" s="183"/>
      <c r="C60" s="183"/>
      <c r="D60" s="68"/>
      <c r="E60" s="68"/>
      <c r="F60" s="68"/>
      <c r="G60" s="202" t="s">
        <v>226</v>
      </c>
      <c r="H60" s="68"/>
      <c r="I60" s="202" t="s">
        <v>226</v>
      </c>
      <c r="J60" s="68"/>
      <c r="K60" s="202" t="s">
        <v>226</v>
      </c>
      <c r="L60" s="68"/>
      <c r="M60" s="202" t="s">
        <v>226</v>
      </c>
      <c r="N60" s="68"/>
      <c r="O60" s="202" t="s">
        <v>226</v>
      </c>
      <c r="P60" s="204"/>
      <c r="Q60" s="202" t="s">
        <v>226</v>
      </c>
      <c r="R60" s="204"/>
      <c r="S60" s="202" t="s">
        <v>226</v>
      </c>
      <c r="T60" s="204"/>
      <c r="U60" s="202" t="s">
        <v>226</v>
      </c>
      <c r="V60" s="204"/>
      <c r="W60" s="202" t="s">
        <v>226</v>
      </c>
      <c r="X60" s="204"/>
      <c r="Y60" s="202" t="s">
        <v>226</v>
      </c>
      <c r="Z60" s="204"/>
    </row>
    <row r="61" spans="1:26">
      <c r="A61" s="221">
        <v>59</v>
      </c>
      <c r="B61" s="183"/>
      <c r="C61" s="183"/>
      <c r="D61" s="68"/>
      <c r="E61" s="68"/>
      <c r="F61" s="68"/>
      <c r="G61" s="202" t="s">
        <v>226</v>
      </c>
      <c r="H61" s="68"/>
      <c r="I61" s="202" t="s">
        <v>226</v>
      </c>
      <c r="J61" s="68"/>
      <c r="K61" s="202" t="s">
        <v>226</v>
      </c>
      <c r="L61" s="68"/>
      <c r="M61" s="202" t="s">
        <v>226</v>
      </c>
      <c r="N61" s="68"/>
      <c r="O61" s="202" t="s">
        <v>226</v>
      </c>
      <c r="P61" s="204"/>
      <c r="Q61" s="202" t="s">
        <v>226</v>
      </c>
      <c r="R61" s="204"/>
      <c r="S61" s="202" t="s">
        <v>226</v>
      </c>
      <c r="T61" s="204"/>
      <c r="U61" s="202" t="s">
        <v>226</v>
      </c>
      <c r="V61" s="204"/>
      <c r="W61" s="202" t="s">
        <v>226</v>
      </c>
      <c r="X61" s="204"/>
      <c r="Y61" s="202" t="s">
        <v>226</v>
      </c>
      <c r="Z61" s="204"/>
    </row>
    <row r="62" spans="1:26">
      <c r="A62" s="221">
        <v>60</v>
      </c>
      <c r="B62" s="183"/>
      <c r="C62" s="183"/>
      <c r="D62" s="68"/>
      <c r="E62" s="68"/>
      <c r="F62" s="68"/>
      <c r="G62" s="202" t="s">
        <v>226</v>
      </c>
      <c r="H62" s="68"/>
      <c r="I62" s="202" t="s">
        <v>226</v>
      </c>
      <c r="J62" s="68"/>
      <c r="K62" s="202" t="s">
        <v>226</v>
      </c>
      <c r="L62" s="68"/>
      <c r="M62" s="202" t="s">
        <v>226</v>
      </c>
      <c r="N62" s="68"/>
      <c r="O62" s="202" t="s">
        <v>226</v>
      </c>
      <c r="P62" s="204"/>
      <c r="Q62" s="202" t="s">
        <v>226</v>
      </c>
      <c r="R62" s="204"/>
      <c r="S62" s="202" t="s">
        <v>226</v>
      </c>
      <c r="T62" s="204"/>
      <c r="U62" s="202" t="s">
        <v>226</v>
      </c>
      <c r="V62" s="204"/>
      <c r="W62" s="202" t="s">
        <v>226</v>
      </c>
      <c r="X62" s="204"/>
      <c r="Y62" s="202" t="s">
        <v>226</v>
      </c>
      <c r="Z62" s="204"/>
    </row>
    <row r="63" spans="1:26">
      <c r="A63" s="221">
        <v>61</v>
      </c>
      <c r="B63" s="183"/>
      <c r="C63" s="183"/>
      <c r="D63" s="68"/>
      <c r="E63" s="68"/>
      <c r="F63" s="68"/>
      <c r="G63" s="202" t="s">
        <v>226</v>
      </c>
      <c r="H63" s="68"/>
      <c r="I63" s="202" t="s">
        <v>226</v>
      </c>
      <c r="J63" s="68"/>
      <c r="K63" s="202" t="s">
        <v>226</v>
      </c>
      <c r="L63" s="68"/>
      <c r="M63" s="202" t="s">
        <v>226</v>
      </c>
      <c r="N63" s="68"/>
      <c r="O63" s="202" t="s">
        <v>226</v>
      </c>
      <c r="P63" s="204"/>
      <c r="Q63" s="202" t="s">
        <v>226</v>
      </c>
      <c r="R63" s="204"/>
      <c r="S63" s="202" t="s">
        <v>226</v>
      </c>
      <c r="T63" s="204"/>
      <c r="U63" s="202" t="s">
        <v>226</v>
      </c>
      <c r="V63" s="204"/>
      <c r="W63" s="202" t="s">
        <v>226</v>
      </c>
      <c r="X63" s="204"/>
      <c r="Y63" s="202" t="s">
        <v>226</v>
      </c>
      <c r="Z63" s="204"/>
    </row>
    <row r="64" spans="1:26">
      <c r="A64" s="221">
        <v>62</v>
      </c>
      <c r="B64" s="183"/>
      <c r="C64" s="183"/>
      <c r="D64" s="68"/>
      <c r="E64" s="68"/>
      <c r="F64" s="68"/>
      <c r="G64" s="202" t="s">
        <v>226</v>
      </c>
      <c r="H64" s="68"/>
      <c r="I64" s="202" t="s">
        <v>226</v>
      </c>
      <c r="J64" s="68"/>
      <c r="K64" s="202" t="s">
        <v>226</v>
      </c>
      <c r="L64" s="68"/>
      <c r="M64" s="202" t="s">
        <v>226</v>
      </c>
      <c r="N64" s="68"/>
      <c r="O64" s="202" t="s">
        <v>226</v>
      </c>
      <c r="P64" s="204"/>
      <c r="Q64" s="202" t="s">
        <v>226</v>
      </c>
      <c r="R64" s="204"/>
      <c r="S64" s="202" t="s">
        <v>226</v>
      </c>
      <c r="T64" s="204"/>
      <c r="U64" s="202" t="s">
        <v>226</v>
      </c>
      <c r="V64" s="204"/>
      <c r="W64" s="202" t="s">
        <v>226</v>
      </c>
      <c r="X64" s="204"/>
      <c r="Y64" s="202" t="s">
        <v>226</v>
      </c>
      <c r="Z64" s="204"/>
    </row>
    <row r="65" spans="1:26">
      <c r="A65" s="221">
        <v>63</v>
      </c>
      <c r="B65" s="183"/>
      <c r="C65" s="183"/>
      <c r="D65" s="68"/>
      <c r="E65" s="68"/>
      <c r="F65" s="68"/>
      <c r="G65" s="202" t="s">
        <v>226</v>
      </c>
      <c r="H65" s="68"/>
      <c r="I65" s="202" t="s">
        <v>226</v>
      </c>
      <c r="J65" s="68"/>
      <c r="K65" s="202" t="s">
        <v>226</v>
      </c>
      <c r="L65" s="68"/>
      <c r="M65" s="202" t="s">
        <v>226</v>
      </c>
      <c r="N65" s="68"/>
      <c r="O65" s="202" t="s">
        <v>226</v>
      </c>
      <c r="P65" s="204"/>
      <c r="Q65" s="202" t="s">
        <v>226</v>
      </c>
      <c r="R65" s="204"/>
      <c r="S65" s="202" t="s">
        <v>226</v>
      </c>
      <c r="T65" s="204"/>
      <c r="U65" s="202" t="s">
        <v>226</v>
      </c>
      <c r="V65" s="204"/>
      <c r="W65" s="202" t="s">
        <v>226</v>
      </c>
      <c r="X65" s="204"/>
      <c r="Y65" s="202" t="s">
        <v>226</v>
      </c>
      <c r="Z65" s="204"/>
    </row>
    <row r="66" spans="1:26">
      <c r="A66" s="221">
        <v>64</v>
      </c>
      <c r="B66" s="183"/>
      <c r="C66" s="183"/>
      <c r="D66" s="68"/>
      <c r="E66" s="68"/>
      <c r="F66" s="68"/>
      <c r="G66" s="202" t="s">
        <v>226</v>
      </c>
      <c r="H66" s="68"/>
      <c r="I66" s="202" t="s">
        <v>226</v>
      </c>
      <c r="J66" s="68"/>
      <c r="K66" s="202" t="s">
        <v>226</v>
      </c>
      <c r="L66" s="68"/>
      <c r="M66" s="202" t="s">
        <v>226</v>
      </c>
      <c r="N66" s="68"/>
      <c r="O66" s="202" t="s">
        <v>226</v>
      </c>
      <c r="P66" s="204"/>
      <c r="Q66" s="202" t="s">
        <v>226</v>
      </c>
      <c r="R66" s="204"/>
      <c r="S66" s="202" t="s">
        <v>226</v>
      </c>
      <c r="T66" s="204"/>
      <c r="U66" s="202" t="s">
        <v>226</v>
      </c>
      <c r="V66" s="204"/>
      <c r="W66" s="202" t="s">
        <v>226</v>
      </c>
      <c r="X66" s="204"/>
      <c r="Y66" s="202" t="s">
        <v>226</v>
      </c>
      <c r="Z66" s="204"/>
    </row>
    <row r="67" spans="1:26">
      <c r="A67" s="221">
        <v>65</v>
      </c>
      <c r="B67" s="183"/>
      <c r="C67" s="183"/>
      <c r="D67" s="68"/>
      <c r="E67" s="68"/>
      <c r="F67" s="68"/>
      <c r="G67" s="202" t="s">
        <v>226</v>
      </c>
      <c r="H67" s="68"/>
      <c r="I67" s="202" t="s">
        <v>226</v>
      </c>
      <c r="J67" s="68"/>
      <c r="K67" s="202" t="s">
        <v>226</v>
      </c>
      <c r="L67" s="68"/>
      <c r="M67" s="202" t="s">
        <v>226</v>
      </c>
      <c r="N67" s="68"/>
      <c r="O67" s="202" t="s">
        <v>226</v>
      </c>
      <c r="P67" s="204"/>
      <c r="Q67" s="202" t="s">
        <v>226</v>
      </c>
      <c r="R67" s="204"/>
      <c r="S67" s="202" t="s">
        <v>226</v>
      </c>
      <c r="T67" s="204"/>
      <c r="U67" s="202" t="s">
        <v>226</v>
      </c>
      <c r="V67" s="204"/>
      <c r="W67" s="202" t="s">
        <v>226</v>
      </c>
      <c r="X67" s="204"/>
      <c r="Y67" s="202" t="s">
        <v>226</v>
      </c>
      <c r="Z67" s="204"/>
    </row>
    <row r="68" spans="1:26">
      <c r="A68" s="221">
        <v>66</v>
      </c>
      <c r="B68" s="183"/>
      <c r="C68" s="183"/>
      <c r="D68" s="68"/>
      <c r="E68" s="68"/>
      <c r="F68" s="68"/>
      <c r="G68" s="202" t="s">
        <v>226</v>
      </c>
      <c r="H68" s="68"/>
      <c r="I68" s="202" t="s">
        <v>226</v>
      </c>
      <c r="J68" s="68"/>
      <c r="K68" s="202" t="s">
        <v>226</v>
      </c>
      <c r="L68" s="68"/>
      <c r="M68" s="202" t="s">
        <v>226</v>
      </c>
      <c r="N68" s="68"/>
      <c r="O68" s="202" t="s">
        <v>226</v>
      </c>
      <c r="P68" s="204"/>
      <c r="Q68" s="202" t="s">
        <v>226</v>
      </c>
      <c r="R68" s="204"/>
      <c r="S68" s="202" t="s">
        <v>226</v>
      </c>
      <c r="T68" s="204"/>
      <c r="U68" s="202" t="s">
        <v>226</v>
      </c>
      <c r="V68" s="204"/>
      <c r="W68" s="202" t="s">
        <v>226</v>
      </c>
      <c r="X68" s="204"/>
      <c r="Y68" s="183"/>
      <c r="Z68" s="204"/>
    </row>
    <row r="69" spans="1:26">
      <c r="A69" s="221"/>
    </row>
    <row r="70" spans="1:26">
      <c r="A70" s="221"/>
    </row>
    <row r="71" spans="1:26">
      <c r="A71" s="221"/>
    </row>
    <row r="72" spans="1:26">
      <c r="A72" s="221"/>
    </row>
    <row r="73" spans="1:26">
      <c r="A73" s="221"/>
    </row>
    <row r="74" spans="1:26">
      <c r="A74" s="221"/>
    </row>
    <row r="75" spans="1:26">
      <c r="A75" s="221"/>
    </row>
    <row r="76" spans="1:26">
      <c r="A76" s="221"/>
    </row>
    <row r="77" spans="1:26">
      <c r="A77" s="221"/>
    </row>
    <row r="78" spans="1:26">
      <c r="A78" s="221"/>
    </row>
    <row r="79" spans="1:26">
      <c r="A79" s="221"/>
    </row>
    <row r="80" spans="1:26">
      <c r="A80" s="221"/>
    </row>
    <row r="81" spans="1:1">
      <c r="A81" s="221"/>
    </row>
    <row r="82" spans="1:1">
      <c r="A82" s="221"/>
    </row>
    <row r="83" spans="1:1">
      <c r="A83" s="221"/>
    </row>
    <row r="84" spans="1:1">
      <c r="A84" s="221"/>
    </row>
    <row r="85" spans="1:1">
      <c r="A85" s="221"/>
    </row>
    <row r="86" spans="1:1">
      <c r="A86" s="221"/>
    </row>
    <row r="87" spans="1:1">
      <c r="A87" s="221"/>
    </row>
    <row r="88" spans="1:1">
      <c r="A88" s="221"/>
    </row>
    <row r="89" spans="1:1">
      <c r="A89" s="221"/>
    </row>
    <row r="90" spans="1:1">
      <c r="A90" s="221"/>
    </row>
    <row r="91" spans="1:1">
      <c r="A91" s="221"/>
    </row>
    <row r="92" spans="1:1">
      <c r="A92" s="221"/>
    </row>
    <row r="93" spans="1:1">
      <c r="A93" s="221"/>
    </row>
    <row r="94" spans="1:1">
      <c r="A94" s="221"/>
    </row>
    <row r="95" spans="1:1">
      <c r="A95" s="221"/>
    </row>
    <row r="96" spans="1:1">
      <c r="A96" s="221"/>
    </row>
    <row r="97" spans="1:1">
      <c r="A97" s="221"/>
    </row>
    <row r="98" spans="1:1">
      <c r="A98" s="221"/>
    </row>
    <row r="99" spans="1:1">
      <c r="A99" s="221"/>
    </row>
    <row r="100" spans="1:1">
      <c r="A100" s="221"/>
    </row>
    <row r="101" spans="1:1">
      <c r="A101" s="221"/>
    </row>
    <row r="102" spans="1:1">
      <c r="A102" s="221"/>
    </row>
    <row r="103" spans="1:1">
      <c r="A103" s="221"/>
    </row>
    <row r="104" spans="1:1">
      <c r="A104" s="221"/>
    </row>
    <row r="105" spans="1:1">
      <c r="A105" s="221"/>
    </row>
    <row r="106" spans="1:1">
      <c r="A106" s="221"/>
    </row>
    <row r="107" spans="1:1">
      <c r="A107" s="221"/>
    </row>
    <row r="108" spans="1:1">
      <c r="A108" s="221"/>
    </row>
    <row r="109" spans="1:1">
      <c r="A109" s="221"/>
    </row>
    <row r="110" spans="1:1">
      <c r="A110" s="221"/>
    </row>
    <row r="111" spans="1:1">
      <c r="A111" s="221"/>
    </row>
    <row r="112" spans="1:1">
      <c r="A112" s="221"/>
    </row>
    <row r="113" spans="1:1">
      <c r="A113" s="221"/>
    </row>
  </sheetData>
  <autoFilter ref="B1:B113" xr:uid="{00000000-0009-0000-0000-000007000000}"/>
  <mergeCells count="11">
    <mergeCell ref="G1:J1"/>
    <mergeCell ref="K1:L1"/>
    <mergeCell ref="N1:N2"/>
    <mergeCell ref="O1:R1"/>
    <mergeCell ref="S1:Z1"/>
    <mergeCell ref="F1:F2"/>
    <mergeCell ref="A1:A2"/>
    <mergeCell ref="B1:B2"/>
    <mergeCell ref="C1:C2"/>
    <mergeCell ref="D1:D2"/>
    <mergeCell ref="E1:E2"/>
  </mergeCells>
  <pageMargins left="0.11811023622047245" right="0.11811023622047245" top="0.15748031496062992" bottom="0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152"/>
  <sheetViews>
    <sheetView zoomScale="80" zoomScaleNormal="80" workbookViewId="0">
      <pane ySplit="2" topLeftCell="A3" activePane="bottomLeft" state="frozen"/>
      <selection pane="bottomLeft" activeCell="D13" sqref="C4:E13"/>
    </sheetView>
  </sheetViews>
  <sheetFormatPr defaultColWidth="11.42578125" defaultRowHeight="15"/>
  <cols>
    <col min="1" max="1" width="2.7109375" style="5" customWidth="1"/>
    <col min="2" max="2" width="2.85546875" style="5" customWidth="1"/>
    <col min="3" max="3" width="12.42578125" style="5" customWidth="1"/>
    <col min="4" max="4" width="17.42578125" style="5" customWidth="1"/>
    <col min="5" max="5" width="22.28515625" style="5" customWidth="1"/>
    <col min="6" max="6" width="6.140625" style="5" customWidth="1"/>
    <col min="7" max="7" width="8.7109375" style="5" customWidth="1"/>
    <col min="8" max="8" width="5.140625" style="5" customWidth="1"/>
    <col min="9" max="9" width="12.7109375" style="5" customWidth="1"/>
    <col min="10" max="10" width="6.5703125" style="5" customWidth="1"/>
    <col min="11" max="11" width="5.7109375" style="5" customWidth="1"/>
    <col min="12" max="12" width="8.85546875" style="5" customWidth="1"/>
    <col min="13" max="13" width="9.28515625" style="5" customWidth="1"/>
    <col min="14" max="14" width="7.140625" style="5" customWidth="1"/>
    <col min="15" max="15" width="8.28515625" style="5" customWidth="1"/>
    <col min="16" max="16" width="1.140625" style="65" customWidth="1"/>
    <col min="17" max="17" width="8.7109375" style="5" customWidth="1"/>
    <col min="18" max="18" width="7" style="5" customWidth="1"/>
    <col min="19" max="19" width="6.5703125" style="5" customWidth="1"/>
    <col min="20" max="20" width="6.85546875" style="5" customWidth="1"/>
    <col min="21" max="21" width="7.42578125" style="5" bestFit="1" customWidth="1"/>
    <col min="22" max="22" width="8.5703125" style="5" customWidth="1"/>
    <col min="23" max="23" width="6.7109375" style="5" customWidth="1"/>
    <col min="24" max="24" width="7.42578125" style="5" bestFit="1" customWidth="1"/>
    <col min="25" max="25" width="7" style="5" bestFit="1" customWidth="1"/>
    <col min="26" max="26" width="6.85546875" style="5" customWidth="1"/>
    <col min="27" max="28" width="7.5703125" style="5" customWidth="1"/>
    <col min="29" max="29" width="8.5703125" style="5" bestFit="1" customWidth="1"/>
    <col min="30" max="30" width="8.7109375" style="5" bestFit="1" customWidth="1"/>
    <col min="31" max="31" width="7.5703125" style="5" customWidth="1"/>
    <col min="32" max="32" width="8" style="5" bestFit="1" customWidth="1"/>
    <col min="33" max="33" width="7.42578125" style="5" customWidth="1"/>
    <col min="34" max="34" width="9.140625" style="5" bestFit="1" customWidth="1"/>
    <col min="35" max="35" width="9.140625" style="5" customWidth="1"/>
    <col min="36" max="16384" width="11.42578125" style="5"/>
  </cols>
  <sheetData>
    <row r="1" spans="1:41" ht="21.75" thickTop="1" thickBot="1">
      <c r="A1" s="381" t="s">
        <v>0</v>
      </c>
      <c r="B1" s="381"/>
      <c r="C1" s="258">
        <v>0.1</v>
      </c>
      <c r="D1" s="374" t="s">
        <v>1</v>
      </c>
      <c r="E1" s="382">
        <v>1199</v>
      </c>
      <c r="F1" s="382"/>
      <c r="G1" s="383" t="s">
        <v>2</v>
      </c>
      <c r="H1" s="384"/>
      <c r="I1" s="259">
        <f>E1/1.18</f>
        <v>1016.1016949152543</v>
      </c>
      <c r="J1" s="436">
        <f>E1-I1</f>
        <v>182.89830508474574</v>
      </c>
      <c r="K1" s="437"/>
      <c r="L1" s="73"/>
      <c r="M1" s="438" t="s">
        <v>3</v>
      </c>
      <c r="N1" s="438"/>
      <c r="O1" s="223">
        <v>3.95</v>
      </c>
    </row>
    <row r="2" spans="1:41" ht="29.25" customHeight="1" thickTop="1" thickBot="1">
      <c r="A2" s="387" t="s">
        <v>4</v>
      </c>
      <c r="B2" s="388"/>
      <c r="C2" s="260" t="s">
        <v>5</v>
      </c>
      <c r="D2" s="389" t="s">
        <v>6</v>
      </c>
      <c r="E2" s="390"/>
      <c r="F2" s="261" t="s">
        <v>7</v>
      </c>
      <c r="G2" s="69" t="s">
        <v>8</v>
      </c>
      <c r="H2" s="45" t="s">
        <v>9</v>
      </c>
      <c r="I2" s="3" t="s">
        <v>10</v>
      </c>
      <c r="J2" s="8"/>
      <c r="K2" s="8"/>
      <c r="L2" s="8"/>
      <c r="M2" s="8"/>
      <c r="Q2" s="396" t="s">
        <v>11</v>
      </c>
      <c r="R2" s="396"/>
      <c r="S2" s="396"/>
      <c r="T2" s="396"/>
      <c r="U2" s="396"/>
      <c r="V2" s="396"/>
      <c r="W2" s="373"/>
      <c r="X2" s="373"/>
    </row>
    <row r="3" spans="1:41" ht="15.75" customHeight="1" thickBot="1">
      <c r="A3" s="431" t="s">
        <v>12</v>
      </c>
      <c r="B3" s="431"/>
      <c r="C3" s="431"/>
      <c r="D3" s="431"/>
      <c r="E3" s="431"/>
      <c r="F3" s="431"/>
      <c r="G3" s="431"/>
      <c r="H3" s="431"/>
      <c r="I3" s="431"/>
      <c r="J3" s="72" t="s">
        <v>13</v>
      </c>
      <c r="K3" s="76" t="s">
        <v>14</v>
      </c>
      <c r="L3" s="76" t="s">
        <v>15</v>
      </c>
      <c r="M3" s="4" t="s">
        <v>16</v>
      </c>
      <c r="N3" s="77"/>
      <c r="O3" s="61" t="s">
        <v>17</v>
      </c>
      <c r="P3" s="66"/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67"/>
      <c r="AK3" s="67"/>
      <c r="AL3" s="67"/>
    </row>
    <row r="4" spans="1:41" ht="16.5" customHeight="1">
      <c r="A4" s="1">
        <v>1</v>
      </c>
      <c r="B4" s="70" t="s">
        <v>37</v>
      </c>
      <c r="C4" s="256" t="s">
        <v>38</v>
      </c>
      <c r="D4" s="432" t="s">
        <v>56</v>
      </c>
      <c r="E4" s="433"/>
      <c r="F4" s="9">
        <v>1</v>
      </c>
      <c r="G4" s="56">
        <f t="shared" ref="G4:G13" si="0">IF(SUM(Q4:AI4)&lt;=0,"0",(SMALL(Q4:AI4, COUNTIF(Q4:AI4, "&lt;=0") + 1)))</f>
        <v>116</v>
      </c>
      <c r="H4" s="36"/>
      <c r="I4" s="47">
        <f t="shared" ref="I4:I13" si="1">(((G4-H4)*1.18)*$O$1)*F4</f>
        <v>540.67600000000004</v>
      </c>
      <c r="J4" s="49"/>
      <c r="K4" s="75"/>
      <c r="L4" s="262">
        <f t="shared" ref="L4:L13" si="2">I4+J4+K4</f>
        <v>540.67600000000004</v>
      </c>
      <c r="M4" s="262">
        <f t="shared" ref="M4:M13" si="3">(L4*1.015)</f>
        <v>548.78614000000005</v>
      </c>
      <c r="N4" s="46"/>
      <c r="O4" s="140"/>
      <c r="P4" s="66"/>
      <c r="Q4" s="60">
        <v>116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7"/>
      <c r="AK4" s="67"/>
      <c r="AL4" s="255" t="s">
        <v>40</v>
      </c>
    </row>
    <row r="5" spans="1:41" ht="16.5" customHeight="1">
      <c r="A5" s="1">
        <v>2</v>
      </c>
      <c r="B5" s="71"/>
      <c r="C5" s="256" t="s">
        <v>41</v>
      </c>
      <c r="D5" s="432" t="s">
        <v>57</v>
      </c>
      <c r="E5" s="433"/>
      <c r="F5" s="9">
        <v>1</v>
      </c>
      <c r="G5" s="56">
        <f t="shared" si="0"/>
        <v>72</v>
      </c>
      <c r="H5" s="58"/>
      <c r="I5" s="47">
        <f t="shared" si="1"/>
        <v>335.59199999999998</v>
      </c>
      <c r="J5" s="49"/>
      <c r="K5" s="50"/>
      <c r="L5" s="262">
        <f t="shared" si="2"/>
        <v>335.59199999999998</v>
      </c>
      <c r="M5" s="262">
        <f t="shared" si="3"/>
        <v>340.62587999999994</v>
      </c>
      <c r="N5" s="46"/>
      <c r="O5" s="140"/>
      <c r="P5" s="66"/>
      <c r="Q5" s="60">
        <v>72</v>
      </c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7"/>
      <c r="AF5" s="67"/>
      <c r="AG5" s="67"/>
      <c r="AH5" s="67"/>
      <c r="AI5" s="67"/>
      <c r="AJ5" s="67"/>
      <c r="AK5" s="67"/>
      <c r="AL5" s="67"/>
    </row>
    <row r="6" spans="1:41" s="10" customFormat="1" ht="16.5">
      <c r="A6" s="1">
        <v>3</v>
      </c>
      <c r="B6" s="71"/>
      <c r="C6" s="5" t="s">
        <v>43</v>
      </c>
      <c r="D6" s="434" t="s">
        <v>58</v>
      </c>
      <c r="E6" s="433"/>
      <c r="F6" s="9">
        <v>1</v>
      </c>
      <c r="G6" s="56">
        <f t="shared" si="0"/>
        <v>22</v>
      </c>
      <c r="H6" s="37"/>
      <c r="I6" s="47">
        <f t="shared" si="1"/>
        <v>102.54199999999999</v>
      </c>
      <c r="J6" s="49"/>
      <c r="K6" s="50"/>
      <c r="L6" s="262">
        <f t="shared" si="2"/>
        <v>102.54199999999999</v>
      </c>
      <c r="M6" s="262">
        <f t="shared" si="3"/>
        <v>104.08012999999998</v>
      </c>
      <c r="N6" s="46"/>
      <c r="O6" s="140"/>
      <c r="P6" s="66"/>
      <c r="Q6" s="60">
        <v>22</v>
      </c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7"/>
      <c r="AF6" s="67"/>
      <c r="AG6" s="67"/>
      <c r="AH6" s="67"/>
      <c r="AI6" s="67"/>
      <c r="AJ6" s="67"/>
      <c r="AK6" s="67"/>
      <c r="AL6" s="67"/>
      <c r="AM6" s="5"/>
      <c r="AN6" s="5"/>
      <c r="AO6" s="5"/>
    </row>
    <row r="7" spans="1:41" s="10" customFormat="1" ht="16.5">
      <c r="A7" s="1">
        <v>4</v>
      </c>
      <c r="B7" s="71"/>
      <c r="C7" s="256" t="s">
        <v>45</v>
      </c>
      <c r="D7" s="435" t="s">
        <v>59</v>
      </c>
      <c r="E7" s="433"/>
      <c r="F7" s="9">
        <v>1</v>
      </c>
      <c r="G7" s="56">
        <f t="shared" si="0"/>
        <v>28</v>
      </c>
      <c r="H7" s="38"/>
      <c r="I7" s="47">
        <f t="shared" si="1"/>
        <v>130.50800000000001</v>
      </c>
      <c r="J7" s="49"/>
      <c r="K7" s="50"/>
      <c r="L7" s="262">
        <f t="shared" si="2"/>
        <v>130.50800000000001</v>
      </c>
      <c r="M7" s="262">
        <f t="shared" si="3"/>
        <v>132.46562</v>
      </c>
      <c r="N7" s="46"/>
      <c r="O7" s="140"/>
      <c r="P7" s="66"/>
      <c r="Q7" s="60">
        <v>28</v>
      </c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7"/>
      <c r="AF7" s="67"/>
      <c r="AG7" s="67"/>
      <c r="AH7" s="67"/>
      <c r="AI7" s="67"/>
      <c r="AJ7" s="67"/>
      <c r="AK7" s="67"/>
      <c r="AL7" s="67"/>
      <c r="AM7" s="5"/>
      <c r="AN7" s="5"/>
      <c r="AO7" s="5"/>
    </row>
    <row r="8" spans="1:41" s="10" customFormat="1" ht="16.5">
      <c r="A8" s="1">
        <v>5</v>
      </c>
      <c r="B8" s="71"/>
      <c r="C8" s="256" t="s">
        <v>60</v>
      </c>
      <c r="D8" s="376" t="s">
        <v>61</v>
      </c>
      <c r="E8" s="375"/>
      <c r="F8" s="9">
        <v>1</v>
      </c>
      <c r="G8" s="56">
        <f t="shared" si="0"/>
        <v>100</v>
      </c>
      <c r="H8" s="38"/>
      <c r="I8" s="47">
        <f t="shared" si="1"/>
        <v>466.1</v>
      </c>
      <c r="J8" s="49"/>
      <c r="K8" s="50"/>
      <c r="L8" s="262">
        <f t="shared" si="2"/>
        <v>466.1</v>
      </c>
      <c r="M8" s="262">
        <f t="shared" si="3"/>
        <v>473.0915</v>
      </c>
      <c r="N8" s="46"/>
      <c r="O8" s="140"/>
      <c r="P8" s="66"/>
      <c r="Q8" s="60">
        <v>100</v>
      </c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7"/>
      <c r="AF8" s="67"/>
      <c r="AG8" s="67"/>
      <c r="AH8" s="67"/>
      <c r="AI8" s="67"/>
      <c r="AJ8" s="67"/>
      <c r="AK8" s="67"/>
      <c r="AL8" s="67"/>
      <c r="AM8" s="5"/>
      <c r="AN8" s="5"/>
      <c r="AO8" s="5"/>
    </row>
    <row r="9" spans="1:41" s="10" customFormat="1" ht="16.5">
      <c r="A9" s="1">
        <v>6</v>
      </c>
      <c r="B9" s="71"/>
      <c r="C9" s="256" t="s">
        <v>49</v>
      </c>
      <c r="D9" s="376" t="s">
        <v>62</v>
      </c>
      <c r="E9" s="375"/>
      <c r="F9" s="9">
        <v>1</v>
      </c>
      <c r="G9" s="56">
        <f t="shared" si="0"/>
        <v>27</v>
      </c>
      <c r="H9" s="38"/>
      <c r="I9" s="47">
        <f t="shared" si="1"/>
        <v>125.84700000000001</v>
      </c>
      <c r="J9" s="49"/>
      <c r="K9" s="50"/>
      <c r="L9" s="262">
        <f t="shared" si="2"/>
        <v>125.84700000000001</v>
      </c>
      <c r="M9" s="262">
        <f t="shared" si="3"/>
        <v>127.73470499999999</v>
      </c>
      <c r="N9" s="46"/>
      <c r="O9" s="140"/>
      <c r="P9" s="66"/>
      <c r="Q9" s="60">
        <v>27</v>
      </c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7"/>
      <c r="AF9" s="67"/>
      <c r="AG9" s="67"/>
      <c r="AH9" s="67"/>
      <c r="AI9" s="67"/>
      <c r="AJ9" s="67"/>
      <c r="AK9" s="67"/>
      <c r="AL9" s="67"/>
      <c r="AM9" s="5"/>
      <c r="AN9" s="5"/>
      <c r="AO9" s="5"/>
    </row>
    <row r="10" spans="1:41" s="10" customFormat="1" ht="16.5">
      <c r="A10" s="1">
        <v>7</v>
      </c>
      <c r="B10" s="71"/>
      <c r="C10" s="256" t="s">
        <v>63</v>
      </c>
      <c r="D10" s="376" t="s">
        <v>64</v>
      </c>
      <c r="E10" s="375"/>
      <c r="F10" s="9">
        <v>1</v>
      </c>
      <c r="G10" s="56">
        <f t="shared" si="0"/>
        <v>11</v>
      </c>
      <c r="H10" s="38"/>
      <c r="I10" s="47">
        <f t="shared" si="1"/>
        <v>51.270999999999994</v>
      </c>
      <c r="J10" s="49"/>
      <c r="K10" s="50"/>
      <c r="L10" s="262">
        <f t="shared" si="2"/>
        <v>51.270999999999994</v>
      </c>
      <c r="M10" s="262">
        <f t="shared" si="3"/>
        <v>52.040064999999991</v>
      </c>
      <c r="N10" s="46"/>
      <c r="O10" s="140"/>
      <c r="P10" s="66"/>
      <c r="Q10" s="60">
        <v>11</v>
      </c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7"/>
      <c r="AF10" s="67"/>
      <c r="AG10" s="67"/>
      <c r="AH10" s="67"/>
      <c r="AI10" s="67"/>
      <c r="AJ10" s="67"/>
      <c r="AK10" s="67"/>
      <c r="AL10" s="67"/>
      <c r="AM10" s="5"/>
      <c r="AN10" s="5"/>
      <c r="AO10" s="5"/>
    </row>
    <row r="11" spans="1:41" s="10" customFormat="1" ht="16.5">
      <c r="A11" s="1"/>
      <c r="B11" s="71"/>
      <c r="C11" s="256" t="s">
        <v>67</v>
      </c>
      <c r="D11" s="435" t="s">
        <v>68</v>
      </c>
      <c r="E11" s="441"/>
      <c r="F11" s="9">
        <v>1</v>
      </c>
      <c r="G11" s="56">
        <f t="shared" si="0"/>
        <v>12</v>
      </c>
      <c r="H11" s="38"/>
      <c r="I11" s="47">
        <f t="shared" si="1"/>
        <v>55.932000000000002</v>
      </c>
      <c r="J11" s="49"/>
      <c r="K11" s="50"/>
      <c r="L11" s="262">
        <f t="shared" si="2"/>
        <v>55.932000000000002</v>
      </c>
      <c r="M11" s="262">
        <f t="shared" si="3"/>
        <v>56.770979999999994</v>
      </c>
      <c r="N11" s="46"/>
      <c r="O11" s="140"/>
      <c r="P11" s="66"/>
      <c r="Q11" s="60">
        <v>12</v>
      </c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7"/>
      <c r="AF11" s="67"/>
      <c r="AG11" s="67"/>
      <c r="AH11" s="67"/>
      <c r="AI11" s="67"/>
      <c r="AJ11" s="67"/>
      <c r="AK11" s="67"/>
      <c r="AL11" s="67"/>
      <c r="AM11" s="5"/>
      <c r="AN11" s="5"/>
      <c r="AO11" s="5"/>
    </row>
    <row r="12" spans="1:41" s="10" customFormat="1" ht="16.5">
      <c r="A12" s="1"/>
      <c r="B12" s="71"/>
      <c r="C12" s="256" t="s">
        <v>67</v>
      </c>
      <c r="D12" s="435" t="s">
        <v>69</v>
      </c>
      <c r="E12" s="441"/>
      <c r="F12" s="9">
        <v>1</v>
      </c>
      <c r="G12" s="56">
        <f t="shared" si="0"/>
        <v>58</v>
      </c>
      <c r="H12" s="38"/>
      <c r="I12" s="47">
        <f t="shared" si="1"/>
        <v>270.33800000000002</v>
      </c>
      <c r="J12" s="49"/>
      <c r="K12" s="50"/>
      <c r="L12" s="262">
        <f t="shared" si="2"/>
        <v>270.33800000000002</v>
      </c>
      <c r="M12" s="262">
        <f t="shared" si="3"/>
        <v>274.39307000000002</v>
      </c>
      <c r="N12" s="46"/>
      <c r="O12" s="140"/>
      <c r="P12" s="66"/>
      <c r="Q12" s="60">
        <v>58</v>
      </c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7"/>
      <c r="AF12" s="67"/>
      <c r="AG12" s="67"/>
      <c r="AH12" s="67"/>
      <c r="AI12" s="67"/>
      <c r="AJ12" s="67"/>
      <c r="AK12" s="67"/>
      <c r="AL12" s="67"/>
      <c r="AM12" s="5"/>
      <c r="AN12" s="5"/>
      <c r="AO12" s="5"/>
    </row>
    <row r="13" spans="1:41" s="10" customFormat="1" ht="17.25" thickBot="1">
      <c r="A13" s="1">
        <v>8</v>
      </c>
      <c r="B13" s="71"/>
      <c r="C13" s="256" t="s">
        <v>67</v>
      </c>
      <c r="D13" s="434" t="s">
        <v>70</v>
      </c>
      <c r="E13" s="433"/>
      <c r="F13" s="9">
        <v>1</v>
      </c>
      <c r="G13" s="56">
        <f t="shared" si="0"/>
        <v>121</v>
      </c>
      <c r="H13" s="37"/>
      <c r="I13" s="47">
        <f t="shared" si="1"/>
        <v>563.98099999999999</v>
      </c>
      <c r="J13" s="49"/>
      <c r="K13" s="50"/>
      <c r="L13" s="262">
        <f t="shared" si="2"/>
        <v>563.98099999999999</v>
      </c>
      <c r="M13" s="262">
        <f t="shared" si="3"/>
        <v>572.44071499999995</v>
      </c>
      <c r="N13" s="46"/>
      <c r="O13" s="140"/>
      <c r="P13" s="66"/>
      <c r="Q13" s="60">
        <v>121</v>
      </c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7"/>
      <c r="AF13" s="67"/>
      <c r="AG13" s="67"/>
      <c r="AH13" s="67"/>
      <c r="AI13" s="67"/>
      <c r="AJ13" s="67"/>
      <c r="AK13" s="67"/>
      <c r="AL13" s="67"/>
      <c r="AM13" s="5"/>
      <c r="AN13" s="5"/>
      <c r="AO13" s="5"/>
    </row>
    <row r="14" spans="1:41" s="10" customFormat="1" ht="19.5" thickBot="1">
      <c r="A14" s="431" t="s">
        <v>227</v>
      </c>
      <c r="B14" s="431"/>
      <c r="C14" s="431"/>
      <c r="D14" s="431"/>
      <c r="E14" s="431"/>
      <c r="F14" s="431"/>
      <c r="G14" s="431"/>
      <c r="H14" s="431"/>
      <c r="I14" s="431"/>
      <c r="J14" s="263" t="s">
        <v>228</v>
      </c>
      <c r="K14" s="76" t="s">
        <v>229</v>
      </c>
      <c r="L14" s="76" t="s">
        <v>230</v>
      </c>
      <c r="M14" s="4" t="s">
        <v>16</v>
      </c>
      <c r="N14" s="77" t="s">
        <v>231</v>
      </c>
      <c r="O14" s="61" t="s">
        <v>232</v>
      </c>
      <c r="P14" s="66"/>
      <c r="Q14" s="1" t="s">
        <v>18</v>
      </c>
      <c r="R14" s="1" t="s">
        <v>19</v>
      </c>
      <c r="S14" s="1" t="s">
        <v>20</v>
      </c>
      <c r="T14" s="1" t="s">
        <v>21</v>
      </c>
      <c r="U14" s="1" t="s">
        <v>22</v>
      </c>
      <c r="V14" s="1" t="s">
        <v>23</v>
      </c>
      <c r="W14" s="1" t="s">
        <v>24</v>
      </c>
      <c r="X14" s="1" t="s">
        <v>25</v>
      </c>
      <c r="Y14" s="1" t="s">
        <v>26</v>
      </c>
      <c r="Z14" s="1" t="s">
        <v>27</v>
      </c>
      <c r="AA14" s="1" t="s">
        <v>28</v>
      </c>
      <c r="AB14" s="1" t="s">
        <v>29</v>
      </c>
      <c r="AC14" s="1" t="s">
        <v>30</v>
      </c>
      <c r="AD14" s="1" t="s">
        <v>31</v>
      </c>
      <c r="AE14" s="1" t="s">
        <v>32</v>
      </c>
      <c r="AF14" s="1" t="s">
        <v>33</v>
      </c>
      <c r="AG14" s="1" t="s">
        <v>34</v>
      </c>
      <c r="AH14" s="1" t="s">
        <v>35</v>
      </c>
      <c r="AI14" s="1" t="s">
        <v>36</v>
      </c>
      <c r="AJ14" s="67"/>
      <c r="AK14" s="67"/>
      <c r="AL14" s="67"/>
      <c r="AM14" s="5"/>
      <c r="AN14" s="5"/>
      <c r="AO14" s="5"/>
    </row>
    <row r="15" spans="1:41" s="10" customFormat="1" ht="15.75" customHeight="1">
      <c r="A15" s="1">
        <v>1</v>
      </c>
      <c r="B15" s="71"/>
      <c r="C15" s="1"/>
      <c r="D15" s="379"/>
      <c r="E15" s="380"/>
      <c r="F15" s="9">
        <v>1</v>
      </c>
      <c r="G15" s="56">
        <f>IF(SUM(Q15:AI15)&lt;=0,"0",(SMALL(Q15:AI15, COUNTIF(Q15:AI15, "&lt;=0") + 1)))</f>
        <v>20</v>
      </c>
      <c r="H15" s="37"/>
      <c r="I15" s="78">
        <f>(((G15-H15)*1.18)*$O$1)*F15</f>
        <v>93.22</v>
      </c>
      <c r="J15" s="49">
        <v>10</v>
      </c>
      <c r="K15" s="75">
        <v>20</v>
      </c>
      <c r="L15" s="262">
        <f>I15+J15+K15</f>
        <v>123.22</v>
      </c>
      <c r="M15" s="262">
        <f>(L15*1.015)</f>
        <v>125.06829999999999</v>
      </c>
      <c r="N15" s="46">
        <f>K15*F15</f>
        <v>20</v>
      </c>
      <c r="O15" s="264"/>
      <c r="P15" s="66"/>
      <c r="Q15" s="60">
        <v>20</v>
      </c>
      <c r="R15" s="60">
        <v>30</v>
      </c>
      <c r="S15" s="60">
        <v>50</v>
      </c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7"/>
      <c r="AF15" s="67"/>
      <c r="AG15" s="67"/>
      <c r="AH15" s="67"/>
      <c r="AI15" s="67"/>
      <c r="AJ15" s="67"/>
      <c r="AK15" s="67"/>
      <c r="AL15" s="67"/>
      <c r="AM15" s="5"/>
      <c r="AN15" s="5"/>
      <c r="AO15" s="5"/>
    </row>
    <row r="16" spans="1:41" s="10" customFormat="1" ht="15.75" customHeight="1">
      <c r="A16" s="1">
        <v>2</v>
      </c>
      <c r="B16" s="71"/>
      <c r="C16" s="1"/>
      <c r="D16" s="379"/>
      <c r="E16" s="380"/>
      <c r="F16" s="9">
        <v>3</v>
      </c>
      <c r="G16" s="56">
        <f>IF(SUM(Q16:AI16)&lt;=0,"0",(SMALL(Q16:AI16, COUNTIF(Q16:AI16, "&lt;=0") + 1)))</f>
        <v>20</v>
      </c>
      <c r="H16" s="37"/>
      <c r="I16" s="78">
        <f>(((G16-H16)*1.18)*$O$1)*F16</f>
        <v>279.65999999999997</v>
      </c>
      <c r="J16" s="49">
        <v>10</v>
      </c>
      <c r="K16" s="50">
        <v>15</v>
      </c>
      <c r="L16" s="262">
        <f>(I16+J16+(K16*F16))/F16</f>
        <v>111.55333333333333</v>
      </c>
      <c r="M16" s="262">
        <f>(L16*1.015)</f>
        <v>113.22663333333331</v>
      </c>
      <c r="N16" s="46">
        <f>K16*F16</f>
        <v>45</v>
      </c>
      <c r="O16" s="264"/>
      <c r="P16" s="66"/>
      <c r="Q16" s="60">
        <v>20</v>
      </c>
      <c r="R16" s="60">
        <v>30</v>
      </c>
      <c r="S16" s="60">
        <v>50</v>
      </c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7"/>
      <c r="AF16" s="67"/>
      <c r="AG16" s="67"/>
      <c r="AH16" s="67"/>
      <c r="AI16" s="67"/>
      <c r="AJ16" s="67"/>
      <c r="AK16" s="67"/>
      <c r="AL16" s="67"/>
      <c r="AM16" s="5"/>
      <c r="AN16" s="5"/>
      <c r="AO16" s="5"/>
    </row>
    <row r="17" spans="1:41" s="10" customFormat="1" ht="16.5">
      <c r="A17" s="1">
        <v>3</v>
      </c>
      <c r="B17" s="71"/>
      <c r="C17" s="1"/>
      <c r="D17" s="529"/>
      <c r="E17" s="530"/>
      <c r="F17" s="9">
        <v>6</v>
      </c>
      <c r="G17" s="56">
        <f>IF(SUM(Q17:AI17)&lt;=0,"0",(SMALL(Q17:AI17, COUNTIF(Q17:AI17, "&lt;=0") + 1)))</f>
        <v>20</v>
      </c>
      <c r="H17" s="38"/>
      <c r="I17" s="78">
        <f>(((G17-H17)*1.18)*$O$1)*F17</f>
        <v>559.31999999999994</v>
      </c>
      <c r="J17" s="49">
        <v>10</v>
      </c>
      <c r="K17" s="50">
        <v>10</v>
      </c>
      <c r="L17" s="262">
        <f>(I17+J17+(K17*F17))/F17</f>
        <v>104.88666666666666</v>
      </c>
      <c r="M17" s="262">
        <f>(L17*1.015)</f>
        <v>106.45996666666665</v>
      </c>
      <c r="N17" s="46">
        <f>K17*F17</f>
        <v>60</v>
      </c>
      <c r="O17" s="264"/>
      <c r="P17" s="66"/>
      <c r="Q17" s="60">
        <v>20</v>
      </c>
      <c r="R17" s="60">
        <v>30</v>
      </c>
      <c r="S17" s="60">
        <v>50</v>
      </c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7"/>
      <c r="AF17" s="67"/>
      <c r="AG17" s="67"/>
      <c r="AH17" s="67"/>
      <c r="AI17" s="67"/>
      <c r="AJ17" s="67"/>
      <c r="AK17" s="67"/>
      <c r="AL17" s="67"/>
      <c r="AM17" s="5"/>
      <c r="AN17" s="5"/>
      <c r="AO17" s="5"/>
    </row>
    <row r="18" spans="1:41" s="10" customFormat="1" ht="17.25" thickBot="1">
      <c r="A18" s="265">
        <v>4</v>
      </c>
      <c r="B18" s="71"/>
      <c r="C18" s="265"/>
      <c r="D18" s="531"/>
      <c r="E18" s="532"/>
      <c r="F18" s="18">
        <v>12</v>
      </c>
      <c r="G18" s="81">
        <f>IF(SUM(Q18:AI18)&lt;=0,"0",(SMALL(Q18:AI18, COUNTIF(Q18:AI18, "&lt;=0") + 1)))</f>
        <v>20</v>
      </c>
      <c r="H18" s="82"/>
      <c r="I18" s="83">
        <f>(((G18-H18)*1.18)*$O$1)*F18</f>
        <v>1118.6399999999999</v>
      </c>
      <c r="J18" s="84">
        <v>10</v>
      </c>
      <c r="K18" s="74">
        <v>5</v>
      </c>
      <c r="L18" s="266">
        <f>(I18+J18+(K18*F18))/F18</f>
        <v>99.053333333333327</v>
      </c>
      <c r="M18" s="266">
        <f>(L18*1.015)</f>
        <v>100.53913333333331</v>
      </c>
      <c r="N18" s="85">
        <f>K18*F18</f>
        <v>60</v>
      </c>
      <c r="O18" s="267"/>
      <c r="P18" s="66"/>
      <c r="Q18" s="60">
        <v>20</v>
      </c>
      <c r="R18" s="60">
        <v>30</v>
      </c>
      <c r="S18" s="60">
        <v>50</v>
      </c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7"/>
      <c r="AF18" s="67"/>
      <c r="AG18" s="67"/>
      <c r="AH18" s="67"/>
      <c r="AI18" s="67"/>
      <c r="AJ18" s="67"/>
      <c r="AK18" s="67"/>
      <c r="AL18" s="67"/>
      <c r="AM18" s="5"/>
      <c r="AN18" s="5"/>
      <c r="AO18" s="5"/>
    </row>
    <row r="19" spans="1:41" ht="6" customHeight="1" thickBot="1">
      <c r="A19" s="400"/>
      <c r="B19" s="401"/>
      <c r="C19" s="401"/>
      <c r="D19" s="401"/>
      <c r="E19" s="401"/>
      <c r="F19" s="401"/>
      <c r="G19" s="401"/>
      <c r="H19" s="401"/>
      <c r="I19" s="401"/>
      <c r="J19" s="401"/>
      <c r="K19" s="401"/>
      <c r="L19" s="401"/>
      <c r="M19" s="401"/>
      <c r="N19" s="401"/>
      <c r="O19" s="402"/>
      <c r="P19" s="66"/>
      <c r="Q19" s="79"/>
      <c r="R19" s="80"/>
      <c r="S19" s="79"/>
      <c r="T19" s="80"/>
      <c r="U19" s="79"/>
      <c r="V19" s="80"/>
      <c r="W19" s="79"/>
      <c r="X19" s="80"/>
      <c r="Y19" s="79"/>
      <c r="Z19" s="80"/>
      <c r="AA19" s="79"/>
      <c r="AB19" s="80"/>
      <c r="AC19" s="79"/>
      <c r="AD19" s="80"/>
      <c r="AE19" s="79"/>
      <c r="AF19" s="80"/>
      <c r="AG19" s="79"/>
      <c r="AH19" s="80"/>
      <c r="AI19" s="79"/>
      <c r="AJ19" s="80"/>
      <c r="AK19" s="67"/>
      <c r="AL19" s="67"/>
    </row>
    <row r="20" spans="1:41" ht="15" customHeight="1" thickBot="1">
      <c r="A20" s="533" t="s">
        <v>233</v>
      </c>
      <c r="B20" s="534"/>
      <c r="C20" s="534"/>
      <c r="D20" s="534"/>
      <c r="E20" s="535"/>
      <c r="F20" s="93" t="s">
        <v>234</v>
      </c>
      <c r="G20" s="536">
        <f>L18*F18</f>
        <v>1188.6399999999999</v>
      </c>
      <c r="H20" s="537"/>
      <c r="I20" s="89">
        <f>M18*F18</f>
        <v>1206.4695999999997</v>
      </c>
      <c r="J20" s="87" t="s">
        <v>235</v>
      </c>
      <c r="K20" s="88">
        <f>L17*F17</f>
        <v>629.31999999999994</v>
      </c>
      <c r="L20" s="89">
        <f>M17*F17</f>
        <v>638.75979999999981</v>
      </c>
      <c r="M20" s="90" t="s">
        <v>236</v>
      </c>
      <c r="N20" s="91">
        <f>L16*F16</f>
        <v>334.65999999999997</v>
      </c>
      <c r="O20" s="92">
        <f>M16*F16</f>
        <v>339.67989999999992</v>
      </c>
      <c r="P20" s="10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</row>
    <row r="21" spans="1:41" ht="15" customHeight="1" thickBo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O21" s="86"/>
      <c r="P21" s="66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</row>
    <row r="22" spans="1:41" ht="20.25" customHeight="1" thickBot="1">
      <c r="A22" s="538" t="s">
        <v>237</v>
      </c>
      <c r="B22" s="538"/>
      <c r="C22" s="538"/>
      <c r="D22" s="538"/>
      <c r="E22" s="538"/>
      <c r="F22" s="538"/>
      <c r="G22" s="538"/>
      <c r="H22" s="538"/>
      <c r="I22" s="538"/>
      <c r="J22" s="72" t="s">
        <v>13</v>
      </c>
      <c r="K22" s="76" t="s">
        <v>14</v>
      </c>
      <c r="L22" s="76" t="s">
        <v>15</v>
      </c>
      <c r="M22" s="4" t="s">
        <v>16</v>
      </c>
      <c r="N22" s="77"/>
      <c r="O22" s="61" t="s">
        <v>17</v>
      </c>
      <c r="P22" s="66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</row>
    <row r="23" spans="1:41" ht="16.5" customHeight="1">
      <c r="A23" s="1">
        <v>1</v>
      </c>
      <c r="B23" s="539" t="s">
        <v>37</v>
      </c>
      <c r="C23" s="1"/>
      <c r="D23" s="377"/>
      <c r="E23" s="377"/>
      <c r="F23" s="9">
        <v>1</v>
      </c>
      <c r="G23" s="57">
        <f>IF(SUM(Q23:AI23)&lt;=0,"0",(SMALL(Q23:AI23, COUNTIF(Q23:AI23, "&lt;=0") + 1)))</f>
        <v>10</v>
      </c>
      <c r="H23" s="11"/>
      <c r="I23" s="48">
        <f>((G23)*$O$1)*F23</f>
        <v>39.5</v>
      </c>
      <c r="J23" s="51"/>
      <c r="K23" s="52"/>
      <c r="L23" s="96">
        <f>K23+I23+J23</f>
        <v>39.5</v>
      </c>
      <c r="M23" s="268">
        <f>(L23*1.015)</f>
        <v>40.092499999999994</v>
      </c>
      <c r="N23" s="46"/>
      <c r="O23" s="140"/>
      <c r="P23" s="66"/>
      <c r="Q23" s="67">
        <v>10</v>
      </c>
      <c r="R23" s="67">
        <v>20</v>
      </c>
      <c r="S23" s="67">
        <v>30</v>
      </c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</row>
    <row r="24" spans="1:41" ht="16.5">
      <c r="A24" s="1">
        <v>2</v>
      </c>
      <c r="B24" s="540"/>
      <c r="C24" s="1"/>
      <c r="D24" s="377"/>
      <c r="E24" s="377"/>
      <c r="F24" s="9">
        <v>1</v>
      </c>
      <c r="G24" s="57" t="str">
        <f>IF(SUM(Q24:AI24)&lt;=0,"0",(SMALL(Q24:AI24, COUNTIF(Q24:AI24, "&lt;=0") + 1)))</f>
        <v>0</v>
      </c>
      <c r="H24" s="11"/>
      <c r="I24" s="48">
        <f>((G24)*$O$1)*F24</f>
        <v>0</v>
      </c>
      <c r="J24" s="51"/>
      <c r="K24" s="52"/>
      <c r="L24" s="96">
        <f>K24+I24+J24</f>
        <v>0</v>
      </c>
      <c r="M24" s="268">
        <f>(L24*1.015)</f>
        <v>0</v>
      </c>
      <c r="N24" s="46"/>
      <c r="O24" s="140"/>
      <c r="P24" s="66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</row>
    <row r="25" spans="1:41" ht="16.5">
      <c r="A25" s="1">
        <v>3</v>
      </c>
      <c r="B25" s="540"/>
      <c r="C25" s="265"/>
      <c r="D25" s="17"/>
      <c r="E25" s="17"/>
      <c r="F25" s="18">
        <v>1</v>
      </c>
      <c r="G25" s="57" t="str">
        <f>IF(SUM(Q25:AI25)&lt;=0,"0",(SMALL(Q25:AI25, COUNTIF(Q25:AI25, "&lt;=0") + 1)))</f>
        <v>0</v>
      </c>
      <c r="H25" s="19"/>
      <c r="I25" s="48">
        <f>((G25)*$O$1)*F25</f>
        <v>0</v>
      </c>
      <c r="J25" s="51"/>
      <c r="K25" s="52"/>
      <c r="L25" s="96">
        <f>K25+I25+J25</f>
        <v>0</v>
      </c>
      <c r="M25" s="268">
        <f>(L25*1.015)</f>
        <v>0</v>
      </c>
      <c r="N25" s="46"/>
      <c r="O25" s="140"/>
      <c r="P25" s="66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</row>
    <row r="26" spans="1:41" ht="16.5">
      <c r="A26" s="1">
        <v>4</v>
      </c>
      <c r="B26" s="540"/>
      <c r="C26" s="1"/>
      <c r="D26" s="377"/>
      <c r="E26" s="377"/>
      <c r="F26" s="9">
        <v>1</v>
      </c>
      <c r="G26" s="57" t="str">
        <f>IF(SUM(Q26:AI26)&lt;=0,"0",(SMALL(Q26:AI26, COUNTIF(Q26:AI26, "&lt;=0") + 1)))</f>
        <v>0</v>
      </c>
      <c r="H26" s="11"/>
      <c r="I26" s="48">
        <f>((G26)*$O$1)*F26</f>
        <v>0</v>
      </c>
      <c r="J26" s="53"/>
      <c r="K26" s="52"/>
      <c r="L26" s="96">
        <f>K26+I26+J26</f>
        <v>0</v>
      </c>
      <c r="M26" s="268">
        <f>(L26*1.015)</f>
        <v>0</v>
      </c>
      <c r="N26" s="46"/>
      <c r="O26" s="140"/>
      <c r="P26" s="66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</row>
    <row r="27" spans="1:41" ht="17.25" thickBot="1">
      <c r="A27" s="1">
        <v>5</v>
      </c>
      <c r="B27" s="541"/>
      <c r="C27" s="1"/>
      <c r="D27" s="377"/>
      <c r="E27" s="377"/>
      <c r="F27" s="9">
        <v>1</v>
      </c>
      <c r="G27" s="57" t="str">
        <f>IF(SUM(Q27:AI27)&lt;=0,"0",(SMALL(Q27:AI27, COUNTIF(Q27:AI27, "&lt;=0") + 1)))</f>
        <v>0</v>
      </c>
      <c r="H27" s="11"/>
      <c r="I27" s="48">
        <f>((G27)*$O$1)*F27</f>
        <v>0</v>
      </c>
      <c r="J27" s="94"/>
      <c r="K27" s="52"/>
      <c r="L27" s="96">
        <f>K27+I27+J27</f>
        <v>0</v>
      </c>
      <c r="M27" s="268">
        <f>(L27*1.015)</f>
        <v>0</v>
      </c>
      <c r="N27" s="95"/>
      <c r="O27" s="269"/>
      <c r="P27" s="10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</row>
    <row r="28" spans="1:41" ht="6" customHeight="1" thickBot="1">
      <c r="A28" s="403"/>
      <c r="B28" s="404"/>
      <c r="C28" s="405"/>
      <c r="D28" s="405"/>
      <c r="E28" s="405"/>
      <c r="F28" s="405"/>
      <c r="G28" s="405"/>
      <c r="H28" s="405"/>
      <c r="I28" s="406"/>
      <c r="J28" s="403"/>
      <c r="K28" s="404"/>
      <c r="L28" s="405"/>
      <c r="M28" s="405"/>
      <c r="N28" s="405"/>
      <c r="O28" s="405"/>
      <c r="P28" s="405"/>
      <c r="Q28" s="405"/>
      <c r="R28" s="406"/>
      <c r="S28" s="403"/>
      <c r="T28" s="404"/>
      <c r="U28" s="405"/>
      <c r="V28" s="405"/>
      <c r="W28" s="405"/>
      <c r="X28" s="405"/>
      <c r="Y28" s="405"/>
      <c r="Z28" s="405"/>
      <c r="AA28" s="406"/>
      <c r="AB28" s="403"/>
      <c r="AC28" s="404"/>
      <c r="AD28" s="405"/>
      <c r="AE28" s="405"/>
      <c r="AF28" s="405"/>
      <c r="AG28" s="405"/>
      <c r="AH28" s="405"/>
      <c r="AI28" s="405"/>
      <c r="AJ28" s="406"/>
      <c r="AK28" s="67"/>
      <c r="AL28" s="67"/>
    </row>
    <row r="29" spans="1:41" s="10" customFormat="1" ht="19.5" thickBot="1">
      <c r="A29" s="431" t="s">
        <v>238</v>
      </c>
      <c r="B29" s="431"/>
      <c r="C29" s="431"/>
      <c r="D29" s="431"/>
      <c r="E29" s="431"/>
      <c r="F29" s="431"/>
      <c r="G29" s="431"/>
      <c r="H29" s="431"/>
      <c r="I29" s="431"/>
      <c r="J29" s="263" t="s">
        <v>228</v>
      </c>
      <c r="K29" s="76" t="s">
        <v>229</v>
      </c>
      <c r="L29" s="76" t="s">
        <v>230</v>
      </c>
      <c r="M29" s="4" t="s">
        <v>16</v>
      </c>
      <c r="N29" s="77" t="s">
        <v>231</v>
      </c>
      <c r="O29" s="61" t="s">
        <v>232</v>
      </c>
      <c r="P29" s="66"/>
      <c r="Q29" s="1" t="s">
        <v>18</v>
      </c>
      <c r="R29" s="1" t="s">
        <v>19</v>
      </c>
      <c r="S29" s="1" t="s">
        <v>20</v>
      </c>
      <c r="T29" s="1" t="s">
        <v>21</v>
      </c>
      <c r="U29" s="1" t="s">
        <v>22</v>
      </c>
      <c r="V29" s="1" t="s">
        <v>23</v>
      </c>
      <c r="W29" s="1" t="s">
        <v>24</v>
      </c>
      <c r="X29" s="1" t="s">
        <v>25</v>
      </c>
      <c r="Y29" s="1" t="s">
        <v>26</v>
      </c>
      <c r="Z29" s="1" t="s">
        <v>27</v>
      </c>
      <c r="AA29" s="1" t="s">
        <v>28</v>
      </c>
      <c r="AB29" s="1" t="s">
        <v>29</v>
      </c>
      <c r="AC29" s="1" t="s">
        <v>30</v>
      </c>
      <c r="AD29" s="1" t="s">
        <v>31</v>
      </c>
      <c r="AE29" s="1" t="s">
        <v>32</v>
      </c>
      <c r="AF29" s="1" t="s">
        <v>33</v>
      </c>
      <c r="AG29" s="1" t="s">
        <v>34</v>
      </c>
      <c r="AH29" s="1" t="s">
        <v>35</v>
      </c>
      <c r="AI29" s="1" t="s">
        <v>36</v>
      </c>
      <c r="AJ29" s="67"/>
      <c r="AK29" s="67"/>
      <c r="AL29" s="67"/>
      <c r="AM29" s="5"/>
      <c r="AN29" s="5"/>
      <c r="AO29" s="5"/>
    </row>
    <row r="30" spans="1:41" s="10" customFormat="1" ht="15.75" customHeight="1">
      <c r="A30" s="1">
        <v>1</v>
      </c>
      <c r="B30" s="71"/>
      <c r="C30" s="1"/>
      <c r="D30" s="379"/>
      <c r="E30" s="380"/>
      <c r="F30" s="9">
        <v>1</v>
      </c>
      <c r="G30" s="56">
        <f>IF(SUM(Q30:AI30)&lt;=0,"0",(SMALL(Q30:AI30, COUNTIF(Q30:AI30, "&lt;=0") + 1)))</f>
        <v>20</v>
      </c>
      <c r="H30" s="37"/>
      <c r="I30" s="78">
        <f>(((G30-H30)*1.18)*$O$1)*F30</f>
        <v>93.22</v>
      </c>
      <c r="J30" s="49">
        <v>10</v>
      </c>
      <c r="K30" s="75">
        <v>20</v>
      </c>
      <c r="L30" s="262">
        <f>I30+J30+K30</f>
        <v>123.22</v>
      </c>
      <c r="M30" s="262">
        <f>(L30*1.015)</f>
        <v>125.06829999999999</v>
      </c>
      <c r="N30" s="46">
        <f>K30*F30</f>
        <v>20</v>
      </c>
      <c r="O30" s="264"/>
      <c r="P30" s="66"/>
      <c r="Q30" s="60">
        <v>20</v>
      </c>
      <c r="R30" s="60">
        <v>30</v>
      </c>
      <c r="S30" s="60">
        <v>50</v>
      </c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7"/>
      <c r="AF30" s="67"/>
      <c r="AG30" s="67"/>
      <c r="AH30" s="67"/>
      <c r="AI30" s="67"/>
      <c r="AJ30" s="67"/>
      <c r="AK30" s="67"/>
      <c r="AL30" s="67"/>
      <c r="AM30" s="5"/>
      <c r="AN30" s="5"/>
      <c r="AO30" s="5"/>
    </row>
    <row r="31" spans="1:41" s="10" customFormat="1" ht="15.75" customHeight="1">
      <c r="A31" s="1">
        <v>2</v>
      </c>
      <c r="B31" s="71"/>
      <c r="C31" s="1"/>
      <c r="D31" s="379"/>
      <c r="E31" s="380"/>
      <c r="F31" s="9">
        <v>3</v>
      </c>
      <c r="G31" s="56">
        <f>IF(SUM(Q31:AI31)&lt;=0,"0",(SMALL(Q31:AI31, COUNTIF(Q31:AI31, "&lt;=0") + 1)))</f>
        <v>20</v>
      </c>
      <c r="H31" s="37"/>
      <c r="I31" s="78">
        <f>(((G31-H31)*1.18)*$O$1)*F31</f>
        <v>279.65999999999997</v>
      </c>
      <c r="J31" s="49">
        <v>10</v>
      </c>
      <c r="K31" s="50">
        <v>15</v>
      </c>
      <c r="L31" s="262">
        <f>(I31+J31+(K31*F31))/F31</f>
        <v>111.55333333333333</v>
      </c>
      <c r="M31" s="262">
        <f>(L31*1.015)</f>
        <v>113.22663333333331</v>
      </c>
      <c r="N31" s="46">
        <f>K31*F31</f>
        <v>45</v>
      </c>
      <c r="O31" s="264"/>
      <c r="P31" s="66"/>
      <c r="Q31" s="60">
        <v>20</v>
      </c>
      <c r="R31" s="60">
        <v>30</v>
      </c>
      <c r="S31" s="60">
        <v>50</v>
      </c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7"/>
      <c r="AF31" s="67"/>
      <c r="AG31" s="67"/>
      <c r="AH31" s="67"/>
      <c r="AI31" s="67"/>
      <c r="AJ31" s="67"/>
      <c r="AK31" s="67"/>
      <c r="AL31" s="67"/>
      <c r="AM31" s="5"/>
      <c r="AN31" s="5"/>
      <c r="AO31" s="5"/>
    </row>
    <row r="32" spans="1:41" s="10" customFormat="1" ht="16.5">
      <c r="A32" s="1">
        <v>3</v>
      </c>
      <c r="B32" s="71"/>
      <c r="C32" s="1"/>
      <c r="D32" s="529"/>
      <c r="E32" s="530"/>
      <c r="F32" s="9">
        <v>6</v>
      </c>
      <c r="G32" s="56">
        <f>IF(SUM(Q32:AI32)&lt;=0,"0",(SMALL(Q32:AI32, COUNTIF(Q32:AI32, "&lt;=0") + 1)))</f>
        <v>20</v>
      </c>
      <c r="H32" s="38"/>
      <c r="I32" s="78">
        <f>(((G32-H32)*1.18)*$O$1)*F32</f>
        <v>559.31999999999994</v>
      </c>
      <c r="J32" s="49">
        <v>10</v>
      </c>
      <c r="K32" s="50">
        <v>10</v>
      </c>
      <c r="L32" s="262">
        <f>(I32+J32+(K32*F32))/F32</f>
        <v>104.88666666666666</v>
      </c>
      <c r="M32" s="262">
        <f>(L32*1.015)</f>
        <v>106.45996666666665</v>
      </c>
      <c r="N32" s="46">
        <f>K32*F32</f>
        <v>60</v>
      </c>
      <c r="O32" s="264"/>
      <c r="P32" s="66"/>
      <c r="Q32" s="60">
        <v>20</v>
      </c>
      <c r="R32" s="60">
        <v>30</v>
      </c>
      <c r="S32" s="60">
        <v>50</v>
      </c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7"/>
      <c r="AF32" s="67"/>
      <c r="AG32" s="67"/>
      <c r="AH32" s="67"/>
      <c r="AI32" s="67"/>
      <c r="AJ32" s="67"/>
      <c r="AK32" s="67"/>
      <c r="AL32" s="67"/>
      <c r="AM32" s="5"/>
      <c r="AN32" s="5"/>
      <c r="AO32" s="5"/>
    </row>
    <row r="33" spans="1:41" s="10" customFormat="1" ht="17.25" thickBot="1">
      <c r="A33" s="265">
        <v>4</v>
      </c>
      <c r="B33" s="71"/>
      <c r="C33" s="265"/>
      <c r="D33" s="531"/>
      <c r="E33" s="532"/>
      <c r="F33" s="18">
        <v>12</v>
      </c>
      <c r="G33" s="81">
        <f>IF(SUM(Q33:AI33)&lt;=0,"0",(SMALL(Q33:AI33, COUNTIF(Q33:AI33, "&lt;=0") + 1)))</f>
        <v>20</v>
      </c>
      <c r="H33" s="82"/>
      <c r="I33" s="83">
        <f>(((G33-H33)*1.18)*$O$1)*F33</f>
        <v>1118.6399999999999</v>
      </c>
      <c r="J33" s="84">
        <v>10</v>
      </c>
      <c r="K33" s="74">
        <v>5</v>
      </c>
      <c r="L33" s="266">
        <f>(I33+J33+(K33*F33))/F33</f>
        <v>99.053333333333327</v>
      </c>
      <c r="M33" s="266">
        <f>(L33*1.015)</f>
        <v>100.53913333333331</v>
      </c>
      <c r="N33" s="85">
        <f>K33*F33</f>
        <v>60</v>
      </c>
      <c r="O33" s="267"/>
      <c r="P33" s="66"/>
      <c r="Q33" s="60">
        <v>20</v>
      </c>
      <c r="R33" s="60">
        <v>30</v>
      </c>
      <c r="S33" s="60">
        <v>50</v>
      </c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7"/>
      <c r="AF33" s="67"/>
      <c r="AG33" s="67"/>
      <c r="AH33" s="67"/>
      <c r="AI33" s="67"/>
      <c r="AJ33" s="67"/>
      <c r="AK33" s="67"/>
      <c r="AL33" s="67"/>
      <c r="AM33" s="5"/>
      <c r="AN33" s="5"/>
      <c r="AO33" s="5"/>
    </row>
    <row r="34" spans="1:41" ht="6" customHeight="1" thickBot="1">
      <c r="A34" s="400"/>
      <c r="B34" s="401"/>
      <c r="C34" s="401"/>
      <c r="D34" s="401"/>
      <c r="E34" s="401"/>
      <c r="F34" s="401"/>
      <c r="G34" s="401"/>
      <c r="H34" s="401"/>
      <c r="I34" s="401"/>
      <c r="J34" s="401"/>
      <c r="K34" s="401"/>
      <c r="L34" s="401"/>
      <c r="M34" s="401"/>
      <c r="N34" s="401"/>
      <c r="O34" s="402"/>
      <c r="P34" s="66"/>
      <c r="Q34" s="79"/>
      <c r="R34" s="80"/>
      <c r="S34" s="79"/>
      <c r="T34" s="80"/>
      <c r="U34" s="79"/>
      <c r="V34" s="80"/>
      <c r="W34" s="79"/>
      <c r="X34" s="80"/>
      <c r="Y34" s="79"/>
      <c r="Z34" s="80"/>
      <c r="AA34" s="79"/>
      <c r="AB34" s="80"/>
      <c r="AC34" s="79"/>
      <c r="AD34" s="80"/>
      <c r="AE34" s="79"/>
      <c r="AF34" s="80"/>
      <c r="AG34" s="79"/>
      <c r="AH34" s="80"/>
      <c r="AI34" s="79"/>
      <c r="AJ34" s="80"/>
      <c r="AK34" s="67"/>
      <c r="AL34" s="67"/>
    </row>
    <row r="35" spans="1:41" ht="15" customHeight="1" thickBot="1">
      <c r="A35" s="533" t="s">
        <v>233</v>
      </c>
      <c r="B35" s="534"/>
      <c r="C35" s="534"/>
      <c r="D35" s="534"/>
      <c r="E35" s="535"/>
      <c r="F35" s="93" t="s">
        <v>234</v>
      </c>
      <c r="G35" s="536">
        <f>L33*F33</f>
        <v>1188.6399999999999</v>
      </c>
      <c r="H35" s="537"/>
      <c r="I35" s="89">
        <f>M33*F33</f>
        <v>1206.4695999999997</v>
      </c>
      <c r="J35" s="87" t="s">
        <v>235</v>
      </c>
      <c r="K35" s="88">
        <f>L32*F32</f>
        <v>629.31999999999994</v>
      </c>
      <c r="L35" s="89">
        <f>M32*F32</f>
        <v>638.75979999999981</v>
      </c>
      <c r="M35" s="90" t="s">
        <v>236</v>
      </c>
      <c r="N35" s="91">
        <f>L31*F31</f>
        <v>334.65999999999997</v>
      </c>
      <c r="O35" s="92">
        <f>M31*F31</f>
        <v>339.67989999999992</v>
      </c>
      <c r="P35" s="10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</row>
    <row r="36" spans="1:4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41">
      <c r="A37" s="6"/>
      <c r="B37" s="6"/>
      <c r="C37" s="6"/>
      <c r="D37" s="6"/>
      <c r="E37" s="6"/>
      <c r="F37" s="6"/>
      <c r="G37" s="6"/>
      <c r="H37" s="6"/>
      <c r="I37" s="6"/>
      <c r="J37" s="6"/>
      <c r="K37" s="6">
        <f>226/5</f>
        <v>45.2</v>
      </c>
      <c r="L37" s="6"/>
      <c r="M37" s="6"/>
    </row>
    <row r="38" spans="1:4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4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T39"/>
    </row>
    <row r="40" spans="1:4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41">
      <c r="A41" s="6"/>
      <c r="B41" s="6"/>
      <c r="C41" s="6"/>
      <c r="D41" s="6"/>
      <c r="E41" s="6"/>
      <c r="F41" s="6"/>
      <c r="G41" s="6"/>
      <c r="H41" s="6"/>
      <c r="I41" s="12"/>
      <c r="J41" s="6"/>
      <c r="K41" s="6"/>
      <c r="L41" s="6"/>
      <c r="M41" s="6"/>
    </row>
    <row r="42" spans="1:4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4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4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4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41">
      <c r="A46" s="6"/>
      <c r="B46" s="6"/>
      <c r="C46" s="6"/>
      <c r="D46" s="6"/>
      <c r="E46" s="6"/>
      <c r="F46" s="6"/>
      <c r="G46" s="6"/>
      <c r="H46" s="6"/>
      <c r="I46" s="6"/>
      <c r="J46" s="6"/>
      <c r="K46" s="27"/>
      <c r="L46" s="27"/>
      <c r="M46" s="27"/>
    </row>
    <row r="47" spans="1:41" s="65" customForma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s="65" customForma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s="65" customFormat="1">
      <c r="A49" s="5"/>
      <c r="B49" s="5"/>
      <c r="C49" s="5"/>
      <c r="D49" s="5"/>
      <c r="E49" s="5"/>
      <c r="F49" s="5"/>
      <c r="G49" s="5"/>
      <c r="H49" s="5"/>
      <c r="I49" s="6"/>
      <c r="J49" s="5"/>
      <c r="K49" s="5"/>
      <c r="L49" s="5"/>
      <c r="M49" s="5"/>
      <c r="N49" s="5"/>
      <c r="O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s="65" customFormat="1">
      <c r="A50" s="5"/>
      <c r="B50" s="5"/>
      <c r="C50" s="5"/>
      <c r="D50" s="5"/>
      <c r="E50" s="28"/>
      <c r="F50" s="5"/>
      <c r="G50" s="5"/>
      <c r="H50" s="5"/>
      <c r="I50" s="6"/>
      <c r="J50" s="5"/>
      <c r="K50" s="5"/>
      <c r="L50" s="5"/>
      <c r="M50" s="5"/>
      <c r="N50" s="5"/>
      <c r="O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s="65" customFormat="1">
      <c r="A51" s="5"/>
      <c r="B51" s="5"/>
      <c r="C51" s="5"/>
      <c r="D51" s="5"/>
      <c r="E51" s="5"/>
      <c r="F51" s="5"/>
      <c r="G51" s="5"/>
      <c r="H51" s="5"/>
      <c r="I51" s="6"/>
      <c r="J51" s="5"/>
      <c r="K51" s="5"/>
      <c r="L51" s="5"/>
      <c r="M51" s="5"/>
      <c r="N51" s="5"/>
      <c r="O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3" spans="1:41" s="65" customFormat="1">
      <c r="A53" s="5"/>
      <c r="B53" s="5"/>
      <c r="C53" s="5"/>
      <c r="D53" s="5"/>
      <c r="E53" s="5"/>
      <c r="F53" s="5"/>
      <c r="G53" s="5"/>
      <c r="H53" s="5"/>
      <c r="I53" s="29"/>
      <c r="J53" s="5"/>
      <c r="K53" s="5"/>
      <c r="L53" s="5"/>
      <c r="M53" s="5"/>
      <c r="N53" s="5"/>
      <c r="O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9" spans="1:41" s="65" customForma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72" spans="7:7" ht="15.75" thickBot="1"/>
    <row r="73" spans="7:7" ht="15.75" thickBot="1">
      <c r="G73" s="31"/>
    </row>
    <row r="92" spans="10:13">
      <c r="M92"/>
    </row>
    <row r="93" spans="10:13">
      <c r="J93"/>
      <c r="M93"/>
    </row>
    <row r="105" spans="10:10">
      <c r="J105"/>
    </row>
    <row r="106" spans="10:10">
      <c r="J106"/>
    </row>
    <row r="112" spans="10:10">
      <c r="J112"/>
    </row>
    <row r="113" spans="10:10">
      <c r="J113"/>
    </row>
    <row r="116" spans="10:10">
      <c r="J116"/>
    </row>
    <row r="119" spans="10:10">
      <c r="J119"/>
    </row>
    <row r="139" spans="7:13">
      <c r="K139" s="5">
        <v>35.19</v>
      </c>
      <c r="M139" s="5">
        <v>24.6</v>
      </c>
    </row>
    <row r="140" spans="7:13">
      <c r="K140" s="5">
        <v>52.92</v>
      </c>
      <c r="M140" s="5">
        <v>3176.17</v>
      </c>
    </row>
    <row r="141" spans="7:13">
      <c r="K141" s="5">
        <f>SUM(K139:K140)</f>
        <v>88.11</v>
      </c>
      <c r="M141" s="5">
        <v>850.22</v>
      </c>
    </row>
    <row r="142" spans="7:13">
      <c r="M142" s="5">
        <f>SUM(M139:M141)</f>
        <v>4050.99</v>
      </c>
    </row>
    <row r="143" spans="7:13">
      <c r="J143" s="5">
        <v>789</v>
      </c>
    </row>
    <row r="144" spans="7:13">
      <c r="G144" s="5">
        <v>4619</v>
      </c>
    </row>
    <row r="145" spans="7:13">
      <c r="G145" s="5">
        <v>100</v>
      </c>
      <c r="M145" s="5">
        <f>M142-2100</f>
        <v>1950.9899999999998</v>
      </c>
    </row>
    <row r="146" spans="7:13">
      <c r="G146" s="5">
        <v>5000</v>
      </c>
    </row>
    <row r="147" spans="7:13">
      <c r="G147" s="5">
        <f>SUM(G144:G146)</f>
        <v>9719</v>
      </c>
    </row>
    <row r="149" spans="7:13">
      <c r="M149" s="5">
        <f>M145/3.26</f>
        <v>598.46319018404904</v>
      </c>
    </row>
    <row r="152" spans="7:13">
      <c r="K152" s="5">
        <f>M149+K141</f>
        <v>686.57319018404905</v>
      </c>
    </row>
  </sheetData>
  <mergeCells count="34">
    <mergeCell ref="A29:I29"/>
    <mergeCell ref="D32:E32"/>
    <mergeCell ref="D33:E33"/>
    <mergeCell ref="A34:O34"/>
    <mergeCell ref="A35:E35"/>
    <mergeCell ref="G35:H35"/>
    <mergeCell ref="AB28:AJ28"/>
    <mergeCell ref="D13:E13"/>
    <mergeCell ref="A14:I14"/>
    <mergeCell ref="D17:E17"/>
    <mergeCell ref="D18:E18"/>
    <mergeCell ref="A19:O19"/>
    <mergeCell ref="A20:E20"/>
    <mergeCell ref="G20:H20"/>
    <mergeCell ref="A22:I22"/>
    <mergeCell ref="B23:B27"/>
    <mergeCell ref="A28:I28"/>
    <mergeCell ref="J28:R28"/>
    <mergeCell ref="S28:AA28"/>
    <mergeCell ref="Q2:V2"/>
    <mergeCell ref="A3:I3"/>
    <mergeCell ref="D4:E4"/>
    <mergeCell ref="D5:E5"/>
    <mergeCell ref="D6:E6"/>
    <mergeCell ref="M1:N1"/>
    <mergeCell ref="A2:B2"/>
    <mergeCell ref="D2:E2"/>
    <mergeCell ref="D12:E12"/>
    <mergeCell ref="D11:E11"/>
    <mergeCell ref="D7:E7"/>
    <mergeCell ref="A1:B1"/>
    <mergeCell ref="E1:F1"/>
    <mergeCell ref="G1:H1"/>
    <mergeCell ref="J1:K1"/>
  </mergeCells>
  <hyperlinks>
    <hyperlink ref="AL4" r:id="rId1" xr:uid="{00000000-0004-0000-0800-000000000000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5"/>
  <dimension ref="A1:AO147"/>
  <sheetViews>
    <sheetView zoomScale="80" zoomScaleNormal="80" workbookViewId="0">
      <pane ySplit="2" topLeftCell="A3" activePane="bottomLeft" state="frozen"/>
      <selection pane="bottomLeft" activeCell="D4" sqref="D4:E4"/>
    </sheetView>
  </sheetViews>
  <sheetFormatPr defaultColWidth="11.42578125" defaultRowHeight="15"/>
  <cols>
    <col min="1" max="1" width="2.7109375" style="5" customWidth="1"/>
    <col min="2" max="2" width="2.85546875" style="5" customWidth="1"/>
    <col min="3" max="3" width="12.42578125" style="5" customWidth="1"/>
    <col min="4" max="4" width="17.42578125" style="5" customWidth="1"/>
    <col min="5" max="5" width="18.5703125" style="5" customWidth="1"/>
    <col min="6" max="6" width="6.140625" style="5" customWidth="1"/>
    <col min="7" max="7" width="8.7109375" style="5" customWidth="1"/>
    <col min="8" max="8" width="5.140625" style="5" customWidth="1"/>
    <col min="9" max="9" width="12.7109375" style="5" customWidth="1"/>
    <col min="10" max="10" width="6.5703125" style="5" customWidth="1"/>
    <col min="11" max="11" width="5.7109375" style="5" customWidth="1"/>
    <col min="12" max="12" width="8.85546875" style="5" customWidth="1"/>
    <col min="13" max="13" width="9.28515625" style="5" customWidth="1"/>
    <col min="14" max="14" width="7.140625" style="5" customWidth="1"/>
    <col min="15" max="15" width="8.28515625" style="5" customWidth="1"/>
    <col min="16" max="16" width="1.140625" style="65" customWidth="1"/>
    <col min="17" max="17" width="8.7109375" style="5" customWidth="1"/>
    <col min="18" max="18" width="7" style="5" customWidth="1"/>
    <col min="19" max="19" width="6.5703125" style="5" customWidth="1"/>
    <col min="20" max="20" width="6.85546875" style="5" customWidth="1"/>
    <col min="21" max="21" width="7.42578125" style="5" bestFit="1" customWidth="1"/>
    <col min="22" max="22" width="8.5703125" style="5" customWidth="1"/>
    <col min="23" max="23" width="6.7109375" style="5" customWidth="1"/>
    <col min="24" max="24" width="7.42578125" style="5" bestFit="1" customWidth="1"/>
    <col min="25" max="25" width="7" style="5" bestFit="1" customWidth="1"/>
    <col min="26" max="26" width="6.85546875" style="5" customWidth="1"/>
    <col min="27" max="28" width="7.5703125" style="5" customWidth="1"/>
    <col min="29" max="29" width="8.5703125" style="5" bestFit="1" customWidth="1"/>
    <col min="30" max="30" width="8.7109375" style="5" bestFit="1" customWidth="1"/>
    <col min="31" max="31" width="7.5703125" style="5" customWidth="1"/>
    <col min="32" max="32" width="8" style="5" bestFit="1" customWidth="1"/>
    <col min="33" max="33" width="7.42578125" style="5" customWidth="1"/>
    <col min="34" max="34" width="9.140625" style="5" bestFit="1" customWidth="1"/>
    <col min="35" max="35" width="9.140625" style="5" customWidth="1"/>
    <col min="36" max="16384" width="11.42578125" style="5"/>
  </cols>
  <sheetData>
    <row r="1" spans="1:41" ht="21.75" thickTop="1" thickBot="1">
      <c r="A1" s="381" t="s">
        <v>0</v>
      </c>
      <c r="B1" s="381"/>
      <c r="C1" s="258">
        <v>0.1</v>
      </c>
      <c r="D1" s="374" t="s">
        <v>1</v>
      </c>
      <c r="E1" s="382">
        <v>1199</v>
      </c>
      <c r="F1" s="382"/>
      <c r="G1" s="383" t="s">
        <v>2</v>
      </c>
      <c r="H1" s="384"/>
      <c r="I1" s="259">
        <f>E1/1.18</f>
        <v>1016.1016949152543</v>
      </c>
      <c r="J1" s="436">
        <f>E1-I1</f>
        <v>182.89830508474574</v>
      </c>
      <c r="K1" s="437"/>
      <c r="L1" s="73"/>
      <c r="M1" s="438" t="s">
        <v>3</v>
      </c>
      <c r="N1" s="438"/>
      <c r="O1" s="223">
        <v>3.28</v>
      </c>
    </row>
    <row r="2" spans="1:41" ht="29.25" customHeight="1" thickTop="1" thickBot="1">
      <c r="A2" s="387" t="s">
        <v>4</v>
      </c>
      <c r="B2" s="388"/>
      <c r="C2" s="260" t="s">
        <v>5</v>
      </c>
      <c r="D2" s="389" t="s">
        <v>6</v>
      </c>
      <c r="E2" s="390"/>
      <c r="F2" s="261" t="s">
        <v>7</v>
      </c>
      <c r="G2" s="69" t="s">
        <v>8</v>
      </c>
      <c r="H2" s="45" t="s">
        <v>9</v>
      </c>
      <c r="I2" s="3" t="s">
        <v>10</v>
      </c>
      <c r="J2" s="8"/>
      <c r="K2" s="8"/>
      <c r="L2" s="8"/>
      <c r="M2" s="8"/>
      <c r="Q2" s="396" t="s">
        <v>11</v>
      </c>
      <c r="R2" s="396"/>
      <c r="S2" s="396"/>
      <c r="T2" s="396"/>
      <c r="U2" s="396"/>
      <c r="V2" s="396"/>
      <c r="W2" s="373"/>
      <c r="X2" s="373"/>
    </row>
    <row r="3" spans="1:41" ht="15.75" customHeight="1" thickBot="1">
      <c r="A3" s="431" t="s">
        <v>12</v>
      </c>
      <c r="B3" s="431"/>
      <c r="C3" s="431"/>
      <c r="D3" s="431"/>
      <c r="E3" s="431"/>
      <c r="F3" s="431"/>
      <c r="G3" s="431"/>
      <c r="H3" s="431"/>
      <c r="I3" s="431"/>
      <c r="J3" s="72" t="s">
        <v>13</v>
      </c>
      <c r="K3" s="76" t="s">
        <v>14</v>
      </c>
      <c r="L3" s="76" t="s">
        <v>15</v>
      </c>
      <c r="M3" s="4" t="s">
        <v>16</v>
      </c>
      <c r="N3" s="77"/>
      <c r="O3" s="61" t="s">
        <v>17</v>
      </c>
      <c r="P3" s="66"/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67"/>
      <c r="AK3" s="67"/>
      <c r="AL3" s="67"/>
    </row>
    <row r="4" spans="1:41" ht="16.5" customHeight="1">
      <c r="A4" s="1">
        <v>1</v>
      </c>
      <c r="B4" s="70" t="s">
        <v>37</v>
      </c>
      <c r="C4" s="1" t="s">
        <v>38</v>
      </c>
      <c r="D4" s="542" t="s">
        <v>239</v>
      </c>
      <c r="E4" s="543"/>
      <c r="F4" s="9">
        <v>1</v>
      </c>
      <c r="G4" s="56">
        <f>IF(SUM(Q4:AI4)&lt;=0,"0",(SMALL(Q4:AI4, COUNTIF(Q4:AI4, "&lt;=0") + 1)))</f>
        <v>63</v>
      </c>
      <c r="H4" s="36"/>
      <c r="I4" s="47">
        <f>(((G4-H4)*1.18)*$O$1)*F4</f>
        <v>243.83519999999996</v>
      </c>
      <c r="J4" s="49">
        <v>15</v>
      </c>
      <c r="K4" s="75">
        <v>20</v>
      </c>
      <c r="L4" s="262">
        <f>I4+J4+K4</f>
        <v>278.83519999999999</v>
      </c>
      <c r="M4" s="262">
        <f>(L4*1.015)</f>
        <v>283.01772799999998</v>
      </c>
      <c r="N4" s="46"/>
      <c r="O4" s="140"/>
      <c r="P4" s="66"/>
      <c r="Q4" s="60">
        <v>63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7"/>
      <c r="AK4" s="67"/>
      <c r="AL4" s="255" t="s">
        <v>40</v>
      </c>
    </row>
    <row r="5" spans="1:41" ht="16.5" customHeight="1">
      <c r="A5" s="1">
        <v>2</v>
      </c>
      <c r="B5" s="71"/>
      <c r="C5" s="1" t="s">
        <v>41</v>
      </c>
      <c r="D5" s="529" t="s">
        <v>57</v>
      </c>
      <c r="E5" s="530"/>
      <c r="F5" s="9">
        <v>1</v>
      </c>
      <c r="G5" s="56">
        <f>IF(SUM(Q5:AI5)&lt;=0,"0",(SMALL(Q5:AI5, COUNTIF(Q5:AI5, "&lt;=0") + 1)))</f>
        <v>72</v>
      </c>
      <c r="H5" s="58"/>
      <c r="I5" s="47">
        <f>(((G5-H5)*1.18)*$O$1)*F5</f>
        <v>278.66879999999998</v>
      </c>
      <c r="J5" s="49"/>
      <c r="K5" s="50"/>
      <c r="L5" s="262">
        <f>I5+J5+K5</f>
        <v>278.66879999999998</v>
      </c>
      <c r="M5" s="262">
        <f>(L5*1.015)</f>
        <v>282.84883199999996</v>
      </c>
      <c r="N5" s="46"/>
      <c r="O5" s="140"/>
      <c r="P5" s="66"/>
      <c r="Q5" s="60">
        <v>72</v>
      </c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7"/>
      <c r="AF5" s="67"/>
      <c r="AG5" s="67"/>
      <c r="AH5" s="67"/>
      <c r="AI5" s="67"/>
      <c r="AJ5" s="67"/>
      <c r="AK5" s="67"/>
      <c r="AL5" s="67"/>
    </row>
    <row r="6" spans="1:41" s="10" customFormat="1" ht="16.5">
      <c r="A6" s="1">
        <v>3</v>
      </c>
      <c r="B6" s="71"/>
      <c r="C6" s="1"/>
      <c r="D6" s="529"/>
      <c r="E6" s="530"/>
      <c r="F6" s="9">
        <v>1</v>
      </c>
      <c r="G6" s="56" t="str">
        <f>IF(SUM(Q6:AI6)&lt;=0,"0",(SMALL(Q6:AI6, COUNTIF(Q6:AI6, "&lt;=0") + 1)))</f>
        <v>0</v>
      </c>
      <c r="H6" s="37"/>
      <c r="I6" s="47">
        <f>(((G6-H6)*1.18)*$O$1)*F6</f>
        <v>0</v>
      </c>
      <c r="J6" s="49"/>
      <c r="K6" s="50"/>
      <c r="L6" s="262">
        <f>I6+J6+K6</f>
        <v>0</v>
      </c>
      <c r="M6" s="262">
        <f>(L6*1.015)</f>
        <v>0</v>
      </c>
      <c r="N6" s="46"/>
      <c r="O6" s="140"/>
      <c r="P6" s="66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7"/>
      <c r="AF6" s="67"/>
      <c r="AG6" s="67"/>
      <c r="AH6" s="67"/>
      <c r="AI6" s="67"/>
      <c r="AJ6" s="67"/>
      <c r="AK6" s="67"/>
      <c r="AL6" s="67"/>
      <c r="AM6" s="5"/>
      <c r="AN6" s="5"/>
      <c r="AO6" s="5"/>
    </row>
    <row r="7" spans="1:41" s="10" customFormat="1" ht="16.5">
      <c r="A7" s="1">
        <v>4</v>
      </c>
      <c r="B7" s="71"/>
      <c r="C7" s="1"/>
      <c r="D7" s="529"/>
      <c r="E7" s="530"/>
      <c r="F7" s="9">
        <v>1</v>
      </c>
      <c r="G7" s="56" t="str">
        <f>IF(SUM(Q7:AI7)&lt;=0,"0",(SMALL(Q7:AI7, COUNTIF(Q7:AI7, "&lt;=0") + 1)))</f>
        <v>0</v>
      </c>
      <c r="H7" s="38"/>
      <c r="I7" s="47">
        <f>(((G7-H7)*1.18)*$O$1)*F7</f>
        <v>0</v>
      </c>
      <c r="J7" s="49"/>
      <c r="K7" s="50"/>
      <c r="L7" s="262">
        <f>I7+J7+K7</f>
        <v>0</v>
      </c>
      <c r="M7" s="262">
        <f>(L7*1.015)</f>
        <v>0</v>
      </c>
      <c r="N7" s="46"/>
      <c r="O7" s="140"/>
      <c r="P7" s="66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7"/>
      <c r="AF7" s="67"/>
      <c r="AG7" s="67"/>
      <c r="AH7" s="67"/>
      <c r="AI7" s="67"/>
      <c r="AJ7" s="67"/>
      <c r="AK7" s="67"/>
      <c r="AL7" s="67"/>
      <c r="AM7" s="5"/>
      <c r="AN7" s="5"/>
      <c r="AO7" s="5"/>
    </row>
    <row r="8" spans="1:41" s="10" customFormat="1" ht="17.25" thickBot="1">
      <c r="A8" s="1">
        <v>5</v>
      </c>
      <c r="B8" s="71"/>
      <c r="C8" s="1"/>
      <c r="D8" s="529"/>
      <c r="E8" s="530"/>
      <c r="F8" s="9">
        <v>1</v>
      </c>
      <c r="G8" s="56" t="str">
        <f>IF(SUM(Q8:AI8)&lt;=0,"0",(SMALL(Q8:AI8, COUNTIF(Q8:AI8, "&lt;=0") + 1)))</f>
        <v>0</v>
      </c>
      <c r="H8" s="37"/>
      <c r="I8" s="47">
        <f>(((G8-H8)*1.18)*$O$1)*F8</f>
        <v>0</v>
      </c>
      <c r="J8" s="49"/>
      <c r="K8" s="50"/>
      <c r="L8" s="262">
        <f>I8+J8+K8</f>
        <v>0</v>
      </c>
      <c r="M8" s="262">
        <f>(L8*1.015)</f>
        <v>0</v>
      </c>
      <c r="N8" s="46"/>
      <c r="O8" s="140"/>
      <c r="P8" s="66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7"/>
      <c r="AF8" s="67"/>
      <c r="AG8" s="67"/>
      <c r="AH8" s="67"/>
      <c r="AI8" s="67"/>
      <c r="AJ8" s="67"/>
      <c r="AK8" s="67"/>
      <c r="AL8" s="67"/>
      <c r="AM8" s="5"/>
      <c r="AN8" s="5"/>
      <c r="AO8" s="5"/>
    </row>
    <row r="9" spans="1:41" s="10" customFormat="1" ht="19.5" thickBot="1">
      <c r="A9" s="431" t="s">
        <v>227</v>
      </c>
      <c r="B9" s="431"/>
      <c r="C9" s="431"/>
      <c r="D9" s="431"/>
      <c r="E9" s="431"/>
      <c r="F9" s="431"/>
      <c r="G9" s="431"/>
      <c r="H9" s="431"/>
      <c r="I9" s="431"/>
      <c r="J9" s="263" t="s">
        <v>228</v>
      </c>
      <c r="K9" s="76" t="s">
        <v>229</v>
      </c>
      <c r="L9" s="76" t="s">
        <v>230</v>
      </c>
      <c r="M9" s="4" t="s">
        <v>16</v>
      </c>
      <c r="N9" s="77" t="s">
        <v>231</v>
      </c>
      <c r="O9" s="61" t="s">
        <v>232</v>
      </c>
      <c r="P9" s="66"/>
      <c r="Q9" s="1" t="s">
        <v>18</v>
      </c>
      <c r="R9" s="1" t="s">
        <v>19</v>
      </c>
      <c r="S9" s="1" t="s">
        <v>20</v>
      </c>
      <c r="T9" s="1" t="s">
        <v>21</v>
      </c>
      <c r="U9" s="1" t="s">
        <v>22</v>
      </c>
      <c r="V9" s="1" t="s">
        <v>23</v>
      </c>
      <c r="W9" s="1" t="s">
        <v>24</v>
      </c>
      <c r="X9" s="1" t="s">
        <v>25</v>
      </c>
      <c r="Y9" s="1" t="s">
        <v>26</v>
      </c>
      <c r="Z9" s="1" t="s">
        <v>27</v>
      </c>
      <c r="AA9" s="1" t="s">
        <v>28</v>
      </c>
      <c r="AB9" s="1" t="s">
        <v>29</v>
      </c>
      <c r="AC9" s="1" t="s">
        <v>30</v>
      </c>
      <c r="AD9" s="1" t="s">
        <v>31</v>
      </c>
      <c r="AE9" s="1" t="s">
        <v>32</v>
      </c>
      <c r="AF9" s="1" t="s">
        <v>33</v>
      </c>
      <c r="AG9" s="1" t="s">
        <v>34</v>
      </c>
      <c r="AH9" s="1" t="s">
        <v>35</v>
      </c>
      <c r="AI9" s="1" t="s">
        <v>36</v>
      </c>
      <c r="AJ9" s="67"/>
      <c r="AK9" s="67"/>
      <c r="AL9" s="67"/>
      <c r="AM9" s="5"/>
      <c r="AN9" s="5"/>
      <c r="AO9" s="5"/>
    </row>
    <row r="10" spans="1:41" s="10" customFormat="1" ht="15.75" customHeight="1">
      <c r="A10" s="1">
        <v>1</v>
      </c>
      <c r="B10" s="71"/>
      <c r="C10" s="1"/>
      <c r="D10" s="379"/>
      <c r="E10" s="380"/>
      <c r="F10" s="9">
        <v>1</v>
      </c>
      <c r="G10" s="56">
        <f>IF(SUM(Q10:AI10)&lt;=0,"0",(SMALL(Q10:AI10, COUNTIF(Q10:AI10, "&lt;=0") + 1)))</f>
        <v>20</v>
      </c>
      <c r="H10" s="37"/>
      <c r="I10" s="78">
        <f>(((G10-H10)*1.18)*$O$1)*F10</f>
        <v>77.407999999999987</v>
      </c>
      <c r="J10" s="49">
        <v>10</v>
      </c>
      <c r="K10" s="75">
        <v>20</v>
      </c>
      <c r="L10" s="262">
        <f>I10+J10+K10</f>
        <v>107.40799999999999</v>
      </c>
      <c r="M10" s="262">
        <f>(L10*1.015)</f>
        <v>109.01911999999997</v>
      </c>
      <c r="N10" s="46">
        <f>K10*F10</f>
        <v>20</v>
      </c>
      <c r="O10" s="264"/>
      <c r="P10" s="66"/>
      <c r="Q10" s="60">
        <v>20</v>
      </c>
      <c r="R10" s="60">
        <v>30</v>
      </c>
      <c r="S10" s="60">
        <v>50</v>
      </c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7"/>
      <c r="AF10" s="67"/>
      <c r="AG10" s="67"/>
      <c r="AH10" s="67"/>
      <c r="AI10" s="67"/>
      <c r="AJ10" s="67"/>
      <c r="AK10" s="67"/>
      <c r="AL10" s="67"/>
      <c r="AM10" s="5"/>
      <c r="AN10" s="5"/>
      <c r="AO10" s="5"/>
    </row>
    <row r="11" spans="1:41" s="10" customFormat="1" ht="15.75" customHeight="1">
      <c r="A11" s="1">
        <v>2</v>
      </c>
      <c r="B11" s="71"/>
      <c r="C11" s="1"/>
      <c r="D11" s="379"/>
      <c r="E11" s="380"/>
      <c r="F11" s="9">
        <v>3</v>
      </c>
      <c r="G11" s="56">
        <f>IF(SUM(Q11:AI11)&lt;=0,"0",(SMALL(Q11:AI11, COUNTIF(Q11:AI11, "&lt;=0") + 1)))</f>
        <v>20</v>
      </c>
      <c r="H11" s="37"/>
      <c r="I11" s="78">
        <f>(((G11-H11)*1.18)*$O$1)*F11</f>
        <v>232.22399999999996</v>
      </c>
      <c r="J11" s="49">
        <v>10</v>
      </c>
      <c r="K11" s="50">
        <v>15</v>
      </c>
      <c r="L11" s="262">
        <f>(I11+J11+(K11*F11))/F11</f>
        <v>95.741333333333316</v>
      </c>
      <c r="M11" s="262">
        <f>(L11*1.015)</f>
        <v>97.177453333333304</v>
      </c>
      <c r="N11" s="46">
        <f>K11*F11</f>
        <v>45</v>
      </c>
      <c r="O11" s="264"/>
      <c r="P11" s="66"/>
      <c r="Q11" s="60">
        <v>20</v>
      </c>
      <c r="R11" s="60">
        <v>30</v>
      </c>
      <c r="S11" s="60">
        <v>50</v>
      </c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7"/>
      <c r="AF11" s="67"/>
      <c r="AG11" s="67"/>
      <c r="AH11" s="67"/>
      <c r="AI11" s="67"/>
      <c r="AJ11" s="67"/>
      <c r="AK11" s="67"/>
      <c r="AL11" s="67"/>
      <c r="AM11" s="5"/>
      <c r="AN11" s="5"/>
      <c r="AO11" s="5"/>
    </row>
    <row r="12" spans="1:41" s="10" customFormat="1" ht="16.5">
      <c r="A12" s="1">
        <v>3</v>
      </c>
      <c r="B12" s="71"/>
      <c r="C12" s="1"/>
      <c r="D12" s="529"/>
      <c r="E12" s="530"/>
      <c r="F12" s="9">
        <v>6</v>
      </c>
      <c r="G12" s="56">
        <f>IF(SUM(Q12:AI12)&lt;=0,"0",(SMALL(Q12:AI12, COUNTIF(Q12:AI12, "&lt;=0") + 1)))</f>
        <v>20</v>
      </c>
      <c r="H12" s="38"/>
      <c r="I12" s="78">
        <f>(((G12-H12)*1.18)*$O$1)*F12</f>
        <v>464.44799999999992</v>
      </c>
      <c r="J12" s="49">
        <v>10</v>
      </c>
      <c r="K12" s="50">
        <v>10</v>
      </c>
      <c r="L12" s="262">
        <f>(I12+J12+(K12*F12))/F12</f>
        <v>89.074666666666644</v>
      </c>
      <c r="M12" s="262">
        <f>(L12*1.015)</f>
        <v>90.410786666666638</v>
      </c>
      <c r="N12" s="46">
        <f>K12*F12</f>
        <v>60</v>
      </c>
      <c r="O12" s="264"/>
      <c r="P12" s="66"/>
      <c r="Q12" s="60">
        <v>20</v>
      </c>
      <c r="R12" s="60">
        <v>30</v>
      </c>
      <c r="S12" s="60">
        <v>50</v>
      </c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7"/>
      <c r="AF12" s="67"/>
      <c r="AG12" s="67"/>
      <c r="AH12" s="67"/>
      <c r="AI12" s="67"/>
      <c r="AJ12" s="67"/>
      <c r="AK12" s="67"/>
      <c r="AL12" s="67"/>
      <c r="AM12" s="5"/>
      <c r="AN12" s="5"/>
      <c r="AO12" s="5"/>
    </row>
    <row r="13" spans="1:41" s="10" customFormat="1" ht="17.25" thickBot="1">
      <c r="A13" s="265">
        <v>4</v>
      </c>
      <c r="B13" s="71"/>
      <c r="C13" s="265"/>
      <c r="D13" s="531"/>
      <c r="E13" s="532"/>
      <c r="F13" s="18">
        <v>12</v>
      </c>
      <c r="G13" s="81">
        <f>IF(SUM(Q13:AI13)&lt;=0,"0",(SMALL(Q13:AI13, COUNTIF(Q13:AI13, "&lt;=0") + 1)))</f>
        <v>20</v>
      </c>
      <c r="H13" s="82"/>
      <c r="I13" s="83">
        <f>(((G13-H13)*1.18)*$O$1)*F13</f>
        <v>928.89599999999984</v>
      </c>
      <c r="J13" s="84">
        <v>10</v>
      </c>
      <c r="K13" s="74">
        <v>5</v>
      </c>
      <c r="L13" s="266">
        <f>(I13+J13+(K13*F13))/F13</f>
        <v>83.241333333333316</v>
      </c>
      <c r="M13" s="266">
        <f>(L13*1.015)</f>
        <v>84.489953333333304</v>
      </c>
      <c r="N13" s="85">
        <f>K13*F13</f>
        <v>60</v>
      </c>
      <c r="O13" s="267"/>
      <c r="P13" s="66"/>
      <c r="Q13" s="60">
        <v>20</v>
      </c>
      <c r="R13" s="60">
        <v>30</v>
      </c>
      <c r="S13" s="60">
        <v>50</v>
      </c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7"/>
      <c r="AF13" s="67"/>
      <c r="AG13" s="67"/>
      <c r="AH13" s="67"/>
      <c r="AI13" s="67"/>
      <c r="AJ13" s="67"/>
      <c r="AK13" s="67"/>
      <c r="AL13" s="67"/>
      <c r="AM13" s="5"/>
      <c r="AN13" s="5"/>
      <c r="AO13" s="5"/>
    </row>
    <row r="14" spans="1:41" ht="6" customHeight="1" thickBot="1">
      <c r="A14" s="400"/>
      <c r="B14" s="401"/>
      <c r="C14" s="401"/>
      <c r="D14" s="401"/>
      <c r="E14" s="401"/>
      <c r="F14" s="401"/>
      <c r="G14" s="401"/>
      <c r="H14" s="401"/>
      <c r="I14" s="401"/>
      <c r="J14" s="401"/>
      <c r="K14" s="401"/>
      <c r="L14" s="401"/>
      <c r="M14" s="401"/>
      <c r="N14" s="401"/>
      <c r="O14" s="402"/>
      <c r="P14" s="66"/>
      <c r="Q14" s="79"/>
      <c r="R14" s="80"/>
      <c r="S14" s="79"/>
      <c r="T14" s="80"/>
      <c r="U14" s="79"/>
      <c r="V14" s="80"/>
      <c r="W14" s="79"/>
      <c r="X14" s="80"/>
      <c r="Y14" s="79"/>
      <c r="Z14" s="80"/>
      <c r="AA14" s="79"/>
      <c r="AB14" s="80"/>
      <c r="AC14" s="79"/>
      <c r="AD14" s="80"/>
      <c r="AE14" s="79"/>
      <c r="AF14" s="80"/>
      <c r="AG14" s="79"/>
      <c r="AH14" s="80"/>
      <c r="AI14" s="79"/>
      <c r="AJ14" s="80"/>
      <c r="AK14" s="67"/>
      <c r="AL14" s="67"/>
    </row>
    <row r="15" spans="1:41" ht="15" customHeight="1" thickBot="1">
      <c r="A15" s="533" t="s">
        <v>233</v>
      </c>
      <c r="B15" s="534"/>
      <c r="C15" s="534"/>
      <c r="D15" s="534"/>
      <c r="E15" s="535"/>
      <c r="F15" s="93" t="s">
        <v>234</v>
      </c>
      <c r="G15" s="536">
        <f>L13*F13</f>
        <v>998.89599999999973</v>
      </c>
      <c r="H15" s="537"/>
      <c r="I15" s="89">
        <f>M13*F13</f>
        <v>1013.8794399999997</v>
      </c>
      <c r="J15" s="87" t="s">
        <v>235</v>
      </c>
      <c r="K15" s="88">
        <f>L12*F12</f>
        <v>534.44799999999987</v>
      </c>
      <c r="L15" s="89">
        <f>M12*F12</f>
        <v>542.46471999999983</v>
      </c>
      <c r="M15" s="90" t="s">
        <v>236</v>
      </c>
      <c r="N15" s="91">
        <f>L11*F11</f>
        <v>287.22399999999993</v>
      </c>
      <c r="O15" s="92">
        <f>M11*F11</f>
        <v>291.53235999999993</v>
      </c>
      <c r="P15" s="10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</row>
    <row r="16" spans="1:41" ht="15" customHeight="1" thickBo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O16" s="86"/>
      <c r="P16" s="66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</row>
    <row r="17" spans="1:41" ht="20.25" customHeight="1" thickBot="1">
      <c r="A17" s="538" t="s">
        <v>237</v>
      </c>
      <c r="B17" s="538"/>
      <c r="C17" s="538"/>
      <c r="D17" s="538"/>
      <c r="E17" s="538"/>
      <c r="F17" s="538"/>
      <c r="G17" s="538"/>
      <c r="H17" s="538"/>
      <c r="I17" s="538"/>
      <c r="J17" s="72" t="s">
        <v>13</v>
      </c>
      <c r="K17" s="76" t="s">
        <v>14</v>
      </c>
      <c r="L17" s="76" t="s">
        <v>15</v>
      </c>
      <c r="M17" s="4" t="s">
        <v>16</v>
      </c>
      <c r="N17" s="77"/>
      <c r="O17" s="61" t="s">
        <v>17</v>
      </c>
      <c r="P17" s="66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</row>
    <row r="18" spans="1:41" ht="16.5" customHeight="1">
      <c r="A18" s="1">
        <v>1</v>
      </c>
      <c r="B18" s="539" t="s">
        <v>37</v>
      </c>
      <c r="C18" s="1"/>
      <c r="D18" s="377"/>
      <c r="E18" s="377"/>
      <c r="F18" s="9">
        <v>1</v>
      </c>
      <c r="G18" s="57">
        <f>IF(SUM(Q18:AI18)&lt;=0,"0",(SMALL(Q18:AI18, COUNTIF(Q18:AI18, "&lt;=0") + 1)))</f>
        <v>10</v>
      </c>
      <c r="H18" s="11"/>
      <c r="I18" s="48">
        <f>((G18)*$O$1)*F18</f>
        <v>32.799999999999997</v>
      </c>
      <c r="J18" s="51"/>
      <c r="K18" s="52"/>
      <c r="L18" s="96">
        <f>K18+I18+J18</f>
        <v>32.799999999999997</v>
      </c>
      <c r="M18" s="268">
        <f>(L18*1.015)</f>
        <v>33.291999999999994</v>
      </c>
      <c r="N18" s="46"/>
      <c r="O18" s="140"/>
      <c r="P18" s="66"/>
      <c r="Q18" s="67">
        <v>10</v>
      </c>
      <c r="R18" s="67">
        <v>20</v>
      </c>
      <c r="S18" s="67">
        <v>30</v>
      </c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</row>
    <row r="19" spans="1:41" ht="16.5">
      <c r="A19" s="1">
        <v>2</v>
      </c>
      <c r="B19" s="540"/>
      <c r="C19" s="1"/>
      <c r="D19" s="377"/>
      <c r="E19" s="377"/>
      <c r="F19" s="9">
        <v>1</v>
      </c>
      <c r="G19" s="57" t="str">
        <f>IF(SUM(Q19:AI19)&lt;=0,"0",(SMALL(Q19:AI19, COUNTIF(Q19:AI19, "&lt;=0") + 1)))</f>
        <v>0</v>
      </c>
      <c r="H19" s="11"/>
      <c r="I19" s="48">
        <f>((G19)*$O$1)*F19</f>
        <v>0</v>
      </c>
      <c r="J19" s="51"/>
      <c r="K19" s="52"/>
      <c r="L19" s="96">
        <f>K19+I19+J19</f>
        <v>0</v>
      </c>
      <c r="M19" s="268">
        <f>(L19*1.015)</f>
        <v>0</v>
      </c>
      <c r="N19" s="46"/>
      <c r="O19" s="140"/>
      <c r="P19" s="66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</row>
    <row r="20" spans="1:41" ht="16.5">
      <c r="A20" s="1">
        <v>3</v>
      </c>
      <c r="B20" s="540"/>
      <c r="C20" s="265"/>
      <c r="D20" s="17"/>
      <c r="E20" s="17"/>
      <c r="F20" s="18">
        <v>1</v>
      </c>
      <c r="G20" s="57" t="str">
        <f>IF(SUM(Q20:AI20)&lt;=0,"0",(SMALL(Q20:AI20, COUNTIF(Q20:AI20, "&lt;=0") + 1)))</f>
        <v>0</v>
      </c>
      <c r="H20" s="19"/>
      <c r="I20" s="48">
        <f>((G20)*$O$1)*F20</f>
        <v>0</v>
      </c>
      <c r="J20" s="51"/>
      <c r="K20" s="52"/>
      <c r="L20" s="96">
        <f>K20+I20+J20</f>
        <v>0</v>
      </c>
      <c r="M20" s="268">
        <f>(L20*1.015)</f>
        <v>0</v>
      </c>
      <c r="N20" s="46"/>
      <c r="O20" s="140"/>
      <c r="P20" s="66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</row>
    <row r="21" spans="1:41" ht="16.5">
      <c r="A21" s="1">
        <v>4</v>
      </c>
      <c r="B21" s="540"/>
      <c r="C21" s="1"/>
      <c r="D21" s="377"/>
      <c r="E21" s="377"/>
      <c r="F21" s="9">
        <v>1</v>
      </c>
      <c r="G21" s="57" t="str">
        <f>IF(SUM(Q21:AI21)&lt;=0,"0",(SMALL(Q21:AI21, COUNTIF(Q21:AI21, "&lt;=0") + 1)))</f>
        <v>0</v>
      </c>
      <c r="H21" s="11"/>
      <c r="I21" s="48">
        <f>((G21)*$O$1)*F21</f>
        <v>0</v>
      </c>
      <c r="J21" s="53"/>
      <c r="K21" s="52"/>
      <c r="L21" s="96">
        <f>K21+I21+J21</f>
        <v>0</v>
      </c>
      <c r="M21" s="268">
        <f>(L21*1.015)</f>
        <v>0</v>
      </c>
      <c r="N21" s="46"/>
      <c r="O21" s="140"/>
      <c r="P21" s="66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</row>
    <row r="22" spans="1:41" ht="17.25" thickBot="1">
      <c r="A22" s="1">
        <v>5</v>
      </c>
      <c r="B22" s="541"/>
      <c r="C22" s="1"/>
      <c r="D22" s="377"/>
      <c r="E22" s="377"/>
      <c r="F22" s="9">
        <v>1</v>
      </c>
      <c r="G22" s="57" t="str">
        <f>IF(SUM(Q22:AI22)&lt;=0,"0",(SMALL(Q22:AI22, COUNTIF(Q22:AI22, "&lt;=0") + 1)))</f>
        <v>0</v>
      </c>
      <c r="H22" s="11"/>
      <c r="I22" s="48">
        <f>((G22)*$O$1)*F22</f>
        <v>0</v>
      </c>
      <c r="J22" s="94"/>
      <c r="K22" s="52"/>
      <c r="L22" s="96">
        <f>K22+I22+J22</f>
        <v>0</v>
      </c>
      <c r="M22" s="268">
        <f>(L22*1.015)</f>
        <v>0</v>
      </c>
      <c r="N22" s="95"/>
      <c r="O22" s="269"/>
      <c r="P22" s="10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</row>
    <row r="23" spans="1:41" ht="6" customHeight="1" thickBot="1">
      <c r="A23" s="403"/>
      <c r="B23" s="404"/>
      <c r="C23" s="405"/>
      <c r="D23" s="405"/>
      <c r="E23" s="405"/>
      <c r="F23" s="405"/>
      <c r="G23" s="405"/>
      <c r="H23" s="405"/>
      <c r="I23" s="406"/>
      <c r="J23" s="403"/>
      <c r="K23" s="404"/>
      <c r="L23" s="405"/>
      <c r="M23" s="405"/>
      <c r="N23" s="405"/>
      <c r="O23" s="405"/>
      <c r="P23" s="405"/>
      <c r="Q23" s="405"/>
      <c r="R23" s="406"/>
      <c r="S23" s="403"/>
      <c r="T23" s="404"/>
      <c r="U23" s="405"/>
      <c r="V23" s="405"/>
      <c r="W23" s="405"/>
      <c r="X23" s="405"/>
      <c r="Y23" s="405"/>
      <c r="Z23" s="405"/>
      <c r="AA23" s="406"/>
      <c r="AB23" s="403"/>
      <c r="AC23" s="404"/>
      <c r="AD23" s="405"/>
      <c r="AE23" s="405"/>
      <c r="AF23" s="405"/>
      <c r="AG23" s="405"/>
      <c r="AH23" s="405"/>
      <c r="AI23" s="405"/>
      <c r="AJ23" s="406"/>
      <c r="AK23" s="67"/>
      <c r="AL23" s="67"/>
    </row>
    <row r="24" spans="1:41" s="10" customFormat="1" ht="19.5" thickBot="1">
      <c r="A24" s="431" t="s">
        <v>238</v>
      </c>
      <c r="B24" s="431"/>
      <c r="C24" s="431"/>
      <c r="D24" s="431"/>
      <c r="E24" s="431"/>
      <c r="F24" s="431"/>
      <c r="G24" s="431"/>
      <c r="H24" s="431"/>
      <c r="I24" s="431"/>
      <c r="J24" s="263" t="s">
        <v>228</v>
      </c>
      <c r="K24" s="76" t="s">
        <v>229</v>
      </c>
      <c r="L24" s="76" t="s">
        <v>230</v>
      </c>
      <c r="M24" s="4" t="s">
        <v>16</v>
      </c>
      <c r="N24" s="77" t="s">
        <v>231</v>
      </c>
      <c r="O24" s="61" t="s">
        <v>232</v>
      </c>
      <c r="P24" s="66"/>
      <c r="Q24" s="1" t="s">
        <v>18</v>
      </c>
      <c r="R24" s="1" t="s">
        <v>19</v>
      </c>
      <c r="S24" s="1" t="s">
        <v>20</v>
      </c>
      <c r="T24" s="1" t="s">
        <v>21</v>
      </c>
      <c r="U24" s="1" t="s">
        <v>22</v>
      </c>
      <c r="V24" s="1" t="s">
        <v>23</v>
      </c>
      <c r="W24" s="1" t="s">
        <v>24</v>
      </c>
      <c r="X24" s="1" t="s">
        <v>25</v>
      </c>
      <c r="Y24" s="1" t="s">
        <v>26</v>
      </c>
      <c r="Z24" s="1" t="s">
        <v>27</v>
      </c>
      <c r="AA24" s="1" t="s">
        <v>28</v>
      </c>
      <c r="AB24" s="1" t="s">
        <v>29</v>
      </c>
      <c r="AC24" s="1" t="s">
        <v>30</v>
      </c>
      <c r="AD24" s="1" t="s">
        <v>31</v>
      </c>
      <c r="AE24" s="1" t="s">
        <v>32</v>
      </c>
      <c r="AF24" s="1" t="s">
        <v>33</v>
      </c>
      <c r="AG24" s="1" t="s">
        <v>34</v>
      </c>
      <c r="AH24" s="1" t="s">
        <v>35</v>
      </c>
      <c r="AI24" s="1" t="s">
        <v>36</v>
      </c>
      <c r="AJ24" s="67"/>
      <c r="AK24" s="67"/>
      <c r="AL24" s="67"/>
      <c r="AM24" s="5"/>
      <c r="AN24" s="5"/>
      <c r="AO24" s="5"/>
    </row>
    <row r="25" spans="1:41" s="10" customFormat="1" ht="15.75" customHeight="1">
      <c r="A25" s="1">
        <v>1</v>
      </c>
      <c r="B25" s="71"/>
      <c r="C25" s="1"/>
      <c r="D25" s="379"/>
      <c r="E25" s="380"/>
      <c r="F25" s="9">
        <v>1</v>
      </c>
      <c r="G25" s="56">
        <f>IF(SUM(Q25:AI25)&lt;=0,"0",(SMALL(Q25:AI25, COUNTIF(Q25:AI25, "&lt;=0") + 1)))</f>
        <v>20</v>
      </c>
      <c r="H25" s="37"/>
      <c r="I25" s="78">
        <f>(((G25-H25)*1.18)*$O$1)*F25</f>
        <v>77.407999999999987</v>
      </c>
      <c r="J25" s="49">
        <v>10</v>
      </c>
      <c r="K25" s="75">
        <v>20</v>
      </c>
      <c r="L25" s="262">
        <f>I25+J25+K25</f>
        <v>107.40799999999999</v>
      </c>
      <c r="M25" s="262">
        <f>(L25*1.015)</f>
        <v>109.01911999999997</v>
      </c>
      <c r="N25" s="46">
        <f>K25*F25</f>
        <v>20</v>
      </c>
      <c r="O25" s="264"/>
      <c r="P25" s="66"/>
      <c r="Q25" s="60">
        <v>20</v>
      </c>
      <c r="R25" s="60">
        <v>30</v>
      </c>
      <c r="S25" s="60">
        <v>50</v>
      </c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7"/>
      <c r="AF25" s="67"/>
      <c r="AG25" s="67"/>
      <c r="AH25" s="67"/>
      <c r="AI25" s="67"/>
      <c r="AJ25" s="67"/>
      <c r="AK25" s="67"/>
      <c r="AL25" s="67"/>
      <c r="AM25" s="5"/>
      <c r="AN25" s="5"/>
      <c r="AO25" s="5"/>
    </row>
    <row r="26" spans="1:41" s="10" customFormat="1" ht="15.75" customHeight="1">
      <c r="A26" s="1">
        <v>2</v>
      </c>
      <c r="B26" s="71"/>
      <c r="C26" s="1"/>
      <c r="D26" s="379"/>
      <c r="E26" s="380"/>
      <c r="F26" s="9">
        <v>3</v>
      </c>
      <c r="G26" s="56">
        <f>IF(SUM(Q26:AI26)&lt;=0,"0",(SMALL(Q26:AI26, COUNTIF(Q26:AI26, "&lt;=0") + 1)))</f>
        <v>20</v>
      </c>
      <c r="H26" s="37"/>
      <c r="I26" s="78">
        <f>(((G26-H26)*1.18)*$O$1)*F26</f>
        <v>232.22399999999996</v>
      </c>
      <c r="J26" s="49">
        <v>10</v>
      </c>
      <c r="K26" s="50">
        <v>15</v>
      </c>
      <c r="L26" s="262">
        <f>(I26+J26+(K26*F26))/F26</f>
        <v>95.741333333333316</v>
      </c>
      <c r="M26" s="262">
        <f>(L26*1.015)</f>
        <v>97.177453333333304</v>
      </c>
      <c r="N26" s="46">
        <f>K26*F26</f>
        <v>45</v>
      </c>
      <c r="O26" s="264"/>
      <c r="P26" s="66"/>
      <c r="Q26" s="60">
        <v>20</v>
      </c>
      <c r="R26" s="60">
        <v>30</v>
      </c>
      <c r="S26" s="60">
        <v>50</v>
      </c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7"/>
      <c r="AF26" s="67"/>
      <c r="AG26" s="67"/>
      <c r="AH26" s="67"/>
      <c r="AI26" s="67"/>
      <c r="AJ26" s="67"/>
      <c r="AK26" s="67"/>
      <c r="AL26" s="67"/>
      <c r="AM26" s="5"/>
      <c r="AN26" s="5"/>
      <c r="AO26" s="5"/>
    </row>
    <row r="27" spans="1:41" s="10" customFormat="1" ht="16.5">
      <c r="A27" s="1">
        <v>3</v>
      </c>
      <c r="B27" s="71"/>
      <c r="C27" s="1"/>
      <c r="D27" s="529"/>
      <c r="E27" s="530"/>
      <c r="F27" s="9">
        <v>6</v>
      </c>
      <c r="G27" s="56">
        <f>IF(SUM(Q27:AI27)&lt;=0,"0",(SMALL(Q27:AI27, COUNTIF(Q27:AI27, "&lt;=0") + 1)))</f>
        <v>20</v>
      </c>
      <c r="H27" s="38"/>
      <c r="I27" s="78">
        <f>(((G27-H27)*1.18)*$O$1)*F27</f>
        <v>464.44799999999992</v>
      </c>
      <c r="J27" s="49">
        <v>10</v>
      </c>
      <c r="K27" s="50">
        <v>10</v>
      </c>
      <c r="L27" s="262">
        <f>(I27+J27+(K27*F27))/F27</f>
        <v>89.074666666666644</v>
      </c>
      <c r="M27" s="262">
        <f>(L27*1.015)</f>
        <v>90.410786666666638</v>
      </c>
      <c r="N27" s="46">
        <f>K27*F27</f>
        <v>60</v>
      </c>
      <c r="O27" s="264"/>
      <c r="P27" s="66"/>
      <c r="Q27" s="60">
        <v>20</v>
      </c>
      <c r="R27" s="60">
        <v>30</v>
      </c>
      <c r="S27" s="60">
        <v>50</v>
      </c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7"/>
      <c r="AF27" s="67"/>
      <c r="AG27" s="67"/>
      <c r="AH27" s="67"/>
      <c r="AI27" s="67"/>
      <c r="AJ27" s="67"/>
      <c r="AK27" s="67"/>
      <c r="AL27" s="67"/>
      <c r="AM27" s="5"/>
      <c r="AN27" s="5"/>
      <c r="AO27" s="5"/>
    </row>
    <row r="28" spans="1:41" s="10" customFormat="1" ht="17.25" thickBot="1">
      <c r="A28" s="265">
        <v>4</v>
      </c>
      <c r="B28" s="71"/>
      <c r="C28" s="265"/>
      <c r="D28" s="531"/>
      <c r="E28" s="532"/>
      <c r="F28" s="18">
        <v>12</v>
      </c>
      <c r="G28" s="81">
        <f>IF(SUM(Q28:AI28)&lt;=0,"0",(SMALL(Q28:AI28, COUNTIF(Q28:AI28, "&lt;=0") + 1)))</f>
        <v>20</v>
      </c>
      <c r="H28" s="82"/>
      <c r="I28" s="83">
        <f>(((G28-H28)*1.18)*$O$1)*F28</f>
        <v>928.89599999999984</v>
      </c>
      <c r="J28" s="84">
        <v>10</v>
      </c>
      <c r="K28" s="74">
        <v>5</v>
      </c>
      <c r="L28" s="266">
        <f>(I28+J28+(K28*F28))/F28</f>
        <v>83.241333333333316</v>
      </c>
      <c r="M28" s="266">
        <f>(L28*1.015)</f>
        <v>84.489953333333304</v>
      </c>
      <c r="N28" s="85">
        <f>K28*F28</f>
        <v>60</v>
      </c>
      <c r="O28" s="267"/>
      <c r="P28" s="66"/>
      <c r="Q28" s="60">
        <v>20</v>
      </c>
      <c r="R28" s="60">
        <v>30</v>
      </c>
      <c r="S28" s="60">
        <v>50</v>
      </c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7"/>
      <c r="AF28" s="67"/>
      <c r="AG28" s="67"/>
      <c r="AH28" s="67"/>
      <c r="AI28" s="67"/>
      <c r="AJ28" s="67"/>
      <c r="AK28" s="67"/>
      <c r="AL28" s="67"/>
      <c r="AM28" s="5"/>
      <c r="AN28" s="5"/>
      <c r="AO28" s="5"/>
    </row>
    <row r="29" spans="1:41" ht="6" customHeight="1" thickBot="1">
      <c r="A29" s="400"/>
      <c r="B29" s="401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2"/>
      <c r="P29" s="66"/>
      <c r="Q29" s="79"/>
      <c r="R29" s="80"/>
      <c r="S29" s="79"/>
      <c r="T29" s="80"/>
      <c r="U29" s="79"/>
      <c r="V29" s="80"/>
      <c r="W29" s="79"/>
      <c r="X29" s="80"/>
      <c r="Y29" s="79"/>
      <c r="Z29" s="80"/>
      <c r="AA29" s="79"/>
      <c r="AB29" s="80"/>
      <c r="AC29" s="79"/>
      <c r="AD29" s="80"/>
      <c r="AE29" s="79"/>
      <c r="AF29" s="80"/>
      <c r="AG29" s="79"/>
      <c r="AH29" s="80"/>
      <c r="AI29" s="79"/>
      <c r="AJ29" s="80"/>
      <c r="AK29" s="67"/>
      <c r="AL29" s="67"/>
    </row>
    <row r="30" spans="1:41" ht="15" customHeight="1" thickBot="1">
      <c r="A30" s="533" t="s">
        <v>233</v>
      </c>
      <c r="B30" s="534"/>
      <c r="C30" s="534"/>
      <c r="D30" s="534"/>
      <c r="E30" s="535"/>
      <c r="F30" s="93" t="s">
        <v>234</v>
      </c>
      <c r="G30" s="536">
        <f>L28*F28</f>
        <v>998.89599999999973</v>
      </c>
      <c r="H30" s="537"/>
      <c r="I30" s="89">
        <f>M28*F28</f>
        <v>1013.8794399999997</v>
      </c>
      <c r="J30" s="87" t="s">
        <v>235</v>
      </c>
      <c r="K30" s="88">
        <f>L27*F27</f>
        <v>534.44799999999987</v>
      </c>
      <c r="L30" s="89">
        <f>M27*F27</f>
        <v>542.46471999999983</v>
      </c>
      <c r="M30" s="90" t="s">
        <v>236</v>
      </c>
      <c r="N30" s="91">
        <f>L26*F26</f>
        <v>287.22399999999993</v>
      </c>
      <c r="O30" s="92">
        <f>M26*F26</f>
        <v>291.53235999999993</v>
      </c>
      <c r="P30" s="10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</row>
    <row r="31" spans="1:4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4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4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4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T34"/>
    </row>
    <row r="35" spans="1:4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41">
      <c r="A36" s="6"/>
      <c r="B36" s="6"/>
      <c r="C36" s="6"/>
      <c r="D36" s="6"/>
      <c r="E36" s="6"/>
      <c r="F36" s="6"/>
      <c r="G36" s="6"/>
      <c r="H36" s="6"/>
      <c r="I36" s="12"/>
      <c r="J36" s="6"/>
      <c r="K36" s="6"/>
      <c r="L36" s="6"/>
      <c r="M36" s="6"/>
    </row>
    <row r="37" spans="1:4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4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4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4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41">
      <c r="A41" s="6"/>
      <c r="B41" s="6"/>
      <c r="C41" s="6"/>
      <c r="D41" s="6"/>
      <c r="E41" s="6"/>
      <c r="F41" s="6"/>
      <c r="G41" s="6"/>
      <c r="H41" s="6"/>
      <c r="I41" s="6"/>
      <c r="J41" s="6"/>
      <c r="K41" s="27"/>
      <c r="L41" s="27"/>
      <c r="M41" s="27"/>
    </row>
    <row r="42" spans="1:41" s="65" customForma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s="65" customForma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s="65" customFormat="1">
      <c r="A44" s="5"/>
      <c r="B44" s="5"/>
      <c r="C44" s="5"/>
      <c r="D44" s="5"/>
      <c r="E44" s="5"/>
      <c r="F44" s="5"/>
      <c r="G44" s="5"/>
      <c r="H44" s="5"/>
      <c r="I44" s="6"/>
      <c r="J44" s="5"/>
      <c r="K44" s="5"/>
      <c r="L44" s="5"/>
      <c r="M44" s="5"/>
      <c r="N44" s="5"/>
      <c r="O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s="65" customFormat="1">
      <c r="A45" s="5"/>
      <c r="B45" s="5"/>
      <c r="C45" s="5"/>
      <c r="D45" s="5"/>
      <c r="E45" s="28"/>
      <c r="F45" s="5"/>
      <c r="G45" s="5"/>
      <c r="H45" s="5"/>
      <c r="I45" s="6"/>
      <c r="J45" s="5"/>
      <c r="K45" s="5"/>
      <c r="L45" s="5"/>
      <c r="M45" s="5"/>
      <c r="N45" s="5"/>
      <c r="O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s="65" customFormat="1">
      <c r="A46" s="5"/>
      <c r="B46" s="5"/>
      <c r="C46" s="5"/>
      <c r="D46" s="5"/>
      <c r="E46" s="5"/>
      <c r="F46" s="5"/>
      <c r="G46" s="5"/>
      <c r="H46" s="5"/>
      <c r="I46" s="6"/>
      <c r="J46" s="5"/>
      <c r="K46" s="5"/>
      <c r="L46" s="5"/>
      <c r="M46" s="5"/>
      <c r="N46" s="5"/>
      <c r="O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8" spans="1:41" s="65" customFormat="1">
      <c r="A48" s="5"/>
      <c r="B48" s="5"/>
      <c r="C48" s="5"/>
      <c r="D48" s="5"/>
      <c r="E48" s="5"/>
      <c r="F48" s="5"/>
      <c r="G48" s="5"/>
      <c r="H48" s="5"/>
      <c r="I48" s="29"/>
      <c r="J48" s="5"/>
      <c r="K48" s="5"/>
      <c r="L48" s="5"/>
      <c r="M48" s="5"/>
      <c r="N48" s="5"/>
      <c r="O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54" spans="1:41" s="65" customForma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67" spans="7:7" ht="15.75" thickBot="1"/>
    <row r="68" spans="7:7" ht="15.75" thickBot="1">
      <c r="G68" s="31"/>
    </row>
    <row r="87" spans="10:13">
      <c r="M87"/>
    </row>
    <row r="88" spans="10:13">
      <c r="J88"/>
      <c r="M88"/>
    </row>
    <row r="100" spans="10:10">
      <c r="J100"/>
    </row>
    <row r="101" spans="10:10">
      <c r="J101"/>
    </row>
    <row r="107" spans="10:10">
      <c r="J107"/>
    </row>
    <row r="108" spans="10:10">
      <c r="J108"/>
    </row>
    <row r="111" spans="10:10">
      <c r="J111"/>
    </row>
    <row r="114" spans="10:10">
      <c r="J114"/>
    </row>
    <row r="134" spans="7:13">
      <c r="K134" s="5">
        <v>35.19</v>
      </c>
      <c r="M134" s="5">
        <v>24.6</v>
      </c>
    </row>
    <row r="135" spans="7:13">
      <c r="K135" s="5">
        <v>52.92</v>
      </c>
      <c r="M135" s="5">
        <v>3176.17</v>
      </c>
    </row>
    <row r="136" spans="7:13">
      <c r="K136" s="5">
        <f>SUM(K134:K135)</f>
        <v>88.11</v>
      </c>
      <c r="M136" s="5">
        <v>850.22</v>
      </c>
    </row>
    <row r="137" spans="7:13">
      <c r="M137" s="5">
        <f>SUM(M134:M136)</f>
        <v>4050.99</v>
      </c>
    </row>
    <row r="138" spans="7:13">
      <c r="J138" s="5">
        <v>789</v>
      </c>
    </row>
    <row r="139" spans="7:13">
      <c r="G139" s="5">
        <v>4619</v>
      </c>
    </row>
    <row r="140" spans="7:13">
      <c r="G140" s="5">
        <v>100</v>
      </c>
      <c r="M140" s="5">
        <f>M137-2100</f>
        <v>1950.9899999999998</v>
      </c>
    </row>
    <row r="141" spans="7:13">
      <c r="G141" s="5">
        <v>5000</v>
      </c>
    </row>
    <row r="142" spans="7:13">
      <c r="G142" s="5">
        <f>SUM(G139:G141)</f>
        <v>9719</v>
      </c>
    </row>
    <row r="144" spans="7:13">
      <c r="M144" s="5">
        <f>M140/3.26</f>
        <v>598.46319018404904</v>
      </c>
    </row>
    <row r="147" spans="11:11">
      <c r="K147" s="5">
        <f>M144+K136</f>
        <v>686.57319018404905</v>
      </c>
    </row>
  </sheetData>
  <mergeCells count="32">
    <mergeCell ref="A30:E30"/>
    <mergeCell ref="G30:H30"/>
    <mergeCell ref="A15:E15"/>
    <mergeCell ref="J23:R23"/>
    <mergeCell ref="S23:AA23"/>
    <mergeCell ref="D27:E27"/>
    <mergeCell ref="D28:E28"/>
    <mergeCell ref="A29:O29"/>
    <mergeCell ref="Q2:V2"/>
    <mergeCell ref="A3:I3"/>
    <mergeCell ref="D4:E4"/>
    <mergeCell ref="AB23:AJ23"/>
    <mergeCell ref="A24:I24"/>
    <mergeCell ref="A9:I9"/>
    <mergeCell ref="A14:O14"/>
    <mergeCell ref="A23:I23"/>
    <mergeCell ref="B18:B22"/>
    <mergeCell ref="A17:I17"/>
    <mergeCell ref="G15:H15"/>
    <mergeCell ref="D12:E12"/>
    <mergeCell ref="D13:E13"/>
    <mergeCell ref="D6:E6"/>
    <mergeCell ref="D7:E7"/>
    <mergeCell ref="D8:E8"/>
    <mergeCell ref="D5:E5"/>
    <mergeCell ref="M1:N1"/>
    <mergeCell ref="A2:B2"/>
    <mergeCell ref="D2:E2"/>
    <mergeCell ref="A1:B1"/>
    <mergeCell ref="E1:F1"/>
    <mergeCell ref="G1:H1"/>
    <mergeCell ref="J1:K1"/>
  </mergeCells>
  <hyperlinks>
    <hyperlink ref="AL4" r:id="rId1" xr:uid="{00000000-0004-0000-0900-000000000000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6"/>
  <dimension ref="A1:AN154"/>
  <sheetViews>
    <sheetView zoomScale="80" zoomScaleNormal="80" workbookViewId="0">
      <pane ySplit="3" topLeftCell="A4" activePane="bottomLeft" state="frozen"/>
      <selection pane="bottomLeft" activeCell="J22" sqref="J22:J26"/>
    </sheetView>
  </sheetViews>
  <sheetFormatPr defaultColWidth="11.42578125" defaultRowHeight="15"/>
  <cols>
    <col min="1" max="1" width="2.7109375" style="5" customWidth="1"/>
    <col min="2" max="2" width="2.85546875" style="5" customWidth="1"/>
    <col min="3" max="3" width="12.42578125" style="5" customWidth="1"/>
    <col min="4" max="4" width="17.42578125" style="5" customWidth="1"/>
    <col min="5" max="5" width="9.140625" style="5" customWidth="1"/>
    <col min="6" max="6" width="6.140625" style="5" customWidth="1"/>
    <col min="7" max="7" width="8.7109375" style="5" customWidth="1"/>
    <col min="8" max="8" width="5.140625" style="5" customWidth="1"/>
    <col min="9" max="9" width="11.5703125" style="5" customWidth="1"/>
    <col min="10" max="10" width="8.42578125" style="5" customWidth="1"/>
    <col min="11" max="12" width="8.140625" style="5" customWidth="1"/>
    <col min="13" max="13" width="7.140625" style="5" customWidth="1"/>
    <col min="14" max="14" width="8.28515625" style="5" customWidth="1"/>
    <col min="15" max="15" width="1.140625" style="65" customWidth="1"/>
    <col min="16" max="16" width="8.7109375" style="5" customWidth="1"/>
    <col min="17" max="17" width="7" style="5" customWidth="1"/>
    <col min="18" max="18" width="6.5703125" style="5" customWidth="1"/>
    <col min="19" max="19" width="6.85546875" style="5" customWidth="1"/>
    <col min="20" max="20" width="7.42578125" style="5" bestFit="1" customWidth="1"/>
    <col min="21" max="21" width="8.5703125" style="5" customWidth="1"/>
    <col min="22" max="22" width="6.7109375" style="5" customWidth="1"/>
    <col min="23" max="23" width="7.42578125" style="5" bestFit="1" customWidth="1"/>
    <col min="24" max="24" width="7" style="5" bestFit="1" customWidth="1"/>
    <col min="25" max="25" width="6.85546875" style="5" customWidth="1"/>
    <col min="26" max="27" width="7.5703125" style="5" customWidth="1"/>
    <col min="28" max="28" width="8.5703125" style="5" bestFit="1" customWidth="1"/>
    <col min="29" max="29" width="8.7109375" style="5" bestFit="1" customWidth="1"/>
    <col min="30" max="30" width="7.5703125" style="5" customWidth="1"/>
    <col min="31" max="31" width="8" style="5" bestFit="1" customWidth="1"/>
    <col min="32" max="32" width="7.42578125" style="5" customWidth="1"/>
    <col min="33" max="33" width="9.140625" style="5" bestFit="1" customWidth="1"/>
    <col min="34" max="34" width="9.140625" style="5" customWidth="1"/>
    <col min="35" max="16384" width="11.42578125" style="5"/>
  </cols>
  <sheetData>
    <row r="1" spans="1:40" ht="21" thickBot="1">
      <c r="A1" s="438" t="s">
        <v>3</v>
      </c>
      <c r="B1" s="438"/>
      <c r="C1" s="270">
        <v>3.28</v>
      </c>
      <c r="D1" s="562"/>
      <c r="E1" s="562"/>
      <c r="F1" s="562"/>
      <c r="G1" s="563"/>
      <c r="H1" s="563"/>
      <c r="I1" s="563"/>
      <c r="K1" s="6"/>
      <c r="L1" s="6"/>
      <c r="O1" s="64"/>
    </row>
    <row r="2" spans="1:40" ht="21.75" thickTop="1" thickBot="1">
      <c r="A2" s="381" t="s">
        <v>0</v>
      </c>
      <c r="B2" s="381"/>
      <c r="C2" s="258">
        <v>0.1</v>
      </c>
      <c r="D2" s="374" t="s">
        <v>1</v>
      </c>
      <c r="E2" s="382">
        <v>899</v>
      </c>
      <c r="F2" s="382"/>
      <c r="G2" s="383" t="s">
        <v>2</v>
      </c>
      <c r="H2" s="384"/>
      <c r="I2" s="259">
        <f>E2/1.18</f>
        <v>761.86440677966107</v>
      </c>
      <c r="J2" s="436">
        <f>E2-I2</f>
        <v>137.13559322033893</v>
      </c>
      <c r="K2" s="437"/>
      <c r="L2" s="7"/>
    </row>
    <row r="3" spans="1:40" ht="21" customHeight="1" thickTop="1" thickBot="1">
      <c r="A3" s="387" t="s">
        <v>4</v>
      </c>
      <c r="B3" s="388"/>
      <c r="C3" s="260" t="s">
        <v>5</v>
      </c>
      <c r="D3" s="389" t="s">
        <v>6</v>
      </c>
      <c r="E3" s="390"/>
      <c r="F3" s="261" t="s">
        <v>7</v>
      </c>
      <c r="G3" s="69" t="s">
        <v>8</v>
      </c>
      <c r="H3" s="45" t="s">
        <v>9</v>
      </c>
      <c r="I3" s="3" t="s">
        <v>10</v>
      </c>
      <c r="J3" s="8"/>
      <c r="K3" s="8"/>
      <c r="L3" s="8"/>
      <c r="P3" s="396" t="s">
        <v>11</v>
      </c>
      <c r="Q3" s="396"/>
      <c r="R3" s="396"/>
      <c r="S3" s="396"/>
      <c r="T3" s="396"/>
      <c r="U3" s="396"/>
      <c r="V3" s="373"/>
      <c r="W3" s="373"/>
    </row>
    <row r="4" spans="1:40" ht="15.75" customHeight="1">
      <c r="A4" s="560"/>
      <c r="B4" s="560"/>
      <c r="C4" s="560"/>
      <c r="D4" s="560"/>
      <c r="E4" s="560"/>
      <c r="F4" s="560"/>
      <c r="G4" s="560"/>
      <c r="H4" s="560"/>
      <c r="I4" s="560"/>
      <c r="J4" s="263" t="s">
        <v>228</v>
      </c>
      <c r="K4" s="271" t="s">
        <v>101</v>
      </c>
      <c r="L4" s="4" t="s">
        <v>240</v>
      </c>
      <c r="M4" s="77"/>
      <c r="N4" s="61" t="s">
        <v>17</v>
      </c>
      <c r="O4" s="66"/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67"/>
      <c r="AJ4" s="67"/>
      <c r="AK4" s="67"/>
    </row>
    <row r="5" spans="1:40" ht="16.5" customHeight="1">
      <c r="A5" s="1">
        <v>1</v>
      </c>
      <c r="B5" s="545" t="s">
        <v>37</v>
      </c>
      <c r="C5" s="1" t="s">
        <v>38</v>
      </c>
      <c r="D5" s="544" t="s">
        <v>241</v>
      </c>
      <c r="E5" s="530"/>
      <c r="F5" s="9">
        <v>1</v>
      </c>
      <c r="G5" s="56" t="str">
        <f>IF(SUM(P5:AH5)&lt;=0,"0",(SMALL(P5:AH5, COUNTIF(P5:AH5, "&lt;=0") + 1)))</f>
        <v>0</v>
      </c>
      <c r="H5" s="36"/>
      <c r="I5" s="47">
        <f>(((G5-H5)*1.18)*$C$1)*F5</f>
        <v>0</v>
      </c>
      <c r="J5" s="49"/>
      <c r="K5" s="50"/>
      <c r="L5" s="272">
        <f>K5+I5+J5</f>
        <v>0</v>
      </c>
      <c r="M5" s="46"/>
      <c r="N5" s="140"/>
      <c r="O5" s="66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7"/>
      <c r="AJ5" s="67"/>
      <c r="AK5" s="67"/>
    </row>
    <row r="6" spans="1:40" ht="16.5" customHeight="1">
      <c r="A6" s="1">
        <v>2</v>
      </c>
      <c r="B6" s="546"/>
      <c r="C6" s="1"/>
      <c r="D6" s="529"/>
      <c r="E6" s="530"/>
      <c r="F6" s="9">
        <v>1</v>
      </c>
      <c r="G6" s="56" t="str">
        <f t="shared" ref="G6:G13" si="0">IF(SUM(P6:AH6)&lt;=0,"0",(SMALL(P6:AH6, COUNTIF(P6:AH6, "&lt;=0") + 1)))</f>
        <v>0</v>
      </c>
      <c r="H6" s="58"/>
      <c r="I6" s="47">
        <f t="shared" ref="I6:I13" si="1">(((G6-H6)*1.18)*$C$1)*F6</f>
        <v>0</v>
      </c>
      <c r="J6" s="49"/>
      <c r="K6" s="50"/>
      <c r="L6" s="272">
        <f t="shared" ref="L6:L13" si="2">K6+I6+J6</f>
        <v>0</v>
      </c>
      <c r="M6" s="46"/>
      <c r="N6" s="140"/>
      <c r="O6" s="66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7"/>
      <c r="AE6" s="67"/>
      <c r="AF6" s="67"/>
      <c r="AG6" s="67"/>
      <c r="AH6" s="67"/>
      <c r="AI6" s="67"/>
      <c r="AJ6" s="67"/>
      <c r="AK6" s="67"/>
    </row>
    <row r="7" spans="1:40" s="10" customFormat="1" ht="16.5">
      <c r="A7" s="1">
        <v>3</v>
      </c>
      <c r="B7" s="546"/>
      <c r="C7" s="1" t="s">
        <v>41</v>
      </c>
      <c r="D7" s="529"/>
      <c r="E7" s="530"/>
      <c r="F7" s="9">
        <v>1</v>
      </c>
      <c r="G7" s="56" t="str">
        <f t="shared" si="0"/>
        <v>0</v>
      </c>
      <c r="H7" s="37"/>
      <c r="I7" s="47">
        <f t="shared" si="1"/>
        <v>0</v>
      </c>
      <c r="J7" s="49"/>
      <c r="K7" s="50"/>
      <c r="L7" s="272">
        <f t="shared" si="2"/>
        <v>0</v>
      </c>
      <c r="M7" s="46"/>
      <c r="N7" s="140"/>
      <c r="O7" s="66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7"/>
      <c r="AE7" s="67"/>
      <c r="AF7" s="67"/>
      <c r="AG7" s="67"/>
      <c r="AH7" s="67"/>
      <c r="AI7" s="67"/>
      <c r="AJ7" s="67"/>
      <c r="AK7" s="67"/>
      <c r="AL7" s="5"/>
      <c r="AM7" s="5"/>
      <c r="AN7" s="5"/>
    </row>
    <row r="8" spans="1:40" s="10" customFormat="1" ht="16.5">
      <c r="A8" s="1">
        <v>4</v>
      </c>
      <c r="B8" s="546"/>
      <c r="C8" s="1"/>
      <c r="D8" s="529"/>
      <c r="E8" s="530"/>
      <c r="F8" s="9">
        <v>1</v>
      </c>
      <c r="G8" s="56" t="str">
        <f t="shared" si="0"/>
        <v>0</v>
      </c>
      <c r="H8" s="38"/>
      <c r="I8" s="47">
        <f t="shared" si="1"/>
        <v>0</v>
      </c>
      <c r="J8" s="49"/>
      <c r="K8" s="50"/>
      <c r="L8" s="272">
        <f t="shared" si="2"/>
        <v>0</v>
      </c>
      <c r="M8" s="46"/>
      <c r="N8" s="140"/>
      <c r="O8" s="66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7"/>
      <c r="AE8" s="67"/>
      <c r="AF8" s="67"/>
      <c r="AG8" s="67"/>
      <c r="AH8" s="67"/>
      <c r="AI8" s="67"/>
      <c r="AJ8" s="67"/>
      <c r="AK8" s="67"/>
      <c r="AL8" s="5"/>
      <c r="AM8" s="5"/>
      <c r="AN8" s="5"/>
    </row>
    <row r="9" spans="1:40" s="10" customFormat="1" ht="16.5">
      <c r="A9" s="1">
        <v>5</v>
      </c>
      <c r="B9" s="546"/>
      <c r="C9" s="1"/>
      <c r="D9" s="529"/>
      <c r="E9" s="530"/>
      <c r="F9" s="9">
        <v>1</v>
      </c>
      <c r="G9" s="56" t="str">
        <f t="shared" si="0"/>
        <v>0</v>
      </c>
      <c r="H9" s="37"/>
      <c r="I9" s="47">
        <f>(((G9-H9)*1.18)*$C$1)*F9</f>
        <v>0</v>
      </c>
      <c r="J9" s="49"/>
      <c r="K9" s="50"/>
      <c r="L9" s="272">
        <f t="shared" si="2"/>
        <v>0</v>
      </c>
      <c r="M9" s="46"/>
      <c r="N9" s="140"/>
      <c r="O9" s="66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7"/>
      <c r="AE9" s="67"/>
      <c r="AF9" s="67"/>
      <c r="AG9" s="67"/>
      <c r="AH9" s="67"/>
      <c r="AI9" s="67"/>
      <c r="AJ9" s="67"/>
      <c r="AK9" s="67"/>
      <c r="AL9" s="5"/>
      <c r="AM9" s="5"/>
      <c r="AN9" s="5"/>
    </row>
    <row r="10" spans="1:40" s="10" customFormat="1" ht="16.5">
      <c r="A10" s="1">
        <v>6</v>
      </c>
      <c r="B10" s="546"/>
      <c r="C10" s="1"/>
      <c r="D10" s="529"/>
      <c r="E10" s="530"/>
      <c r="F10" s="9">
        <v>1</v>
      </c>
      <c r="G10" s="56" t="str">
        <f t="shared" si="0"/>
        <v>0</v>
      </c>
      <c r="H10" s="38"/>
      <c r="I10" s="47">
        <f t="shared" si="1"/>
        <v>0</v>
      </c>
      <c r="J10" s="49"/>
      <c r="K10" s="50"/>
      <c r="L10" s="272">
        <f t="shared" si="2"/>
        <v>0</v>
      </c>
      <c r="M10" s="46"/>
      <c r="N10" s="140"/>
      <c r="O10" s="66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7"/>
      <c r="AE10" s="67"/>
      <c r="AF10" s="67"/>
      <c r="AG10" s="67"/>
      <c r="AH10" s="67"/>
      <c r="AI10" s="67"/>
      <c r="AJ10" s="67"/>
      <c r="AK10" s="67"/>
      <c r="AL10" s="5"/>
      <c r="AM10" s="5"/>
      <c r="AN10" s="5"/>
    </row>
    <row r="11" spans="1:40" s="10" customFormat="1" ht="16.5">
      <c r="A11" s="1">
        <v>7</v>
      </c>
      <c r="B11" s="546"/>
      <c r="C11" s="1"/>
      <c r="D11" s="529"/>
      <c r="E11" s="530"/>
      <c r="F11" s="9">
        <v>1</v>
      </c>
      <c r="G11" s="56" t="str">
        <f t="shared" si="0"/>
        <v>0</v>
      </c>
      <c r="H11" s="39"/>
      <c r="I11" s="47">
        <f t="shared" si="1"/>
        <v>0</v>
      </c>
      <c r="J11" s="49"/>
      <c r="K11" s="50"/>
      <c r="L11" s="272">
        <f t="shared" si="2"/>
        <v>0</v>
      </c>
      <c r="M11" s="46"/>
      <c r="N11" s="140"/>
      <c r="O11" s="66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7"/>
      <c r="AE11" s="67"/>
      <c r="AF11" s="67"/>
      <c r="AG11" s="67"/>
      <c r="AH11" s="67"/>
      <c r="AI11" s="67"/>
      <c r="AJ11" s="67"/>
      <c r="AK11" s="67"/>
      <c r="AL11" s="5"/>
      <c r="AM11" s="5"/>
      <c r="AN11" s="5"/>
    </row>
    <row r="12" spans="1:40" s="10" customFormat="1" ht="16.5">
      <c r="A12" s="1">
        <v>8</v>
      </c>
      <c r="B12" s="546"/>
      <c r="C12" s="1"/>
      <c r="D12" s="529"/>
      <c r="E12" s="530"/>
      <c r="F12" s="9">
        <v>1</v>
      </c>
      <c r="G12" s="56" t="str">
        <f t="shared" si="0"/>
        <v>0</v>
      </c>
      <c r="H12" s="40"/>
      <c r="I12" s="47">
        <f t="shared" si="1"/>
        <v>0</v>
      </c>
      <c r="J12" s="49"/>
      <c r="K12" s="50"/>
      <c r="L12" s="272">
        <f t="shared" si="2"/>
        <v>0</v>
      </c>
      <c r="M12" s="46"/>
      <c r="N12" s="140"/>
      <c r="O12" s="66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7"/>
      <c r="AE12" s="67"/>
      <c r="AF12" s="67"/>
      <c r="AG12" s="67"/>
      <c r="AH12" s="67"/>
      <c r="AI12" s="67"/>
      <c r="AJ12" s="67"/>
      <c r="AK12" s="67"/>
      <c r="AL12" s="5"/>
      <c r="AM12" s="5"/>
      <c r="AN12" s="5"/>
    </row>
    <row r="13" spans="1:40" s="10" customFormat="1" ht="17.25" thickBot="1">
      <c r="A13" s="1">
        <v>9</v>
      </c>
      <c r="B13" s="546"/>
      <c r="C13" s="1"/>
      <c r="D13" s="553"/>
      <c r="E13" s="554"/>
      <c r="F13" s="9">
        <v>1</v>
      </c>
      <c r="G13" s="56" t="str">
        <f t="shared" si="0"/>
        <v>0</v>
      </c>
      <c r="H13" s="41"/>
      <c r="I13" s="47">
        <f t="shared" si="1"/>
        <v>0</v>
      </c>
      <c r="J13" s="49"/>
      <c r="K13" s="50"/>
      <c r="L13" s="272">
        <f t="shared" si="2"/>
        <v>0</v>
      </c>
      <c r="M13" s="46"/>
      <c r="N13" s="140"/>
      <c r="O13" s="66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7"/>
      <c r="AE13" s="67"/>
      <c r="AF13" s="67"/>
      <c r="AG13" s="67"/>
      <c r="AH13" s="67"/>
      <c r="AI13" s="67"/>
      <c r="AJ13" s="67"/>
      <c r="AK13" s="67"/>
      <c r="AL13" s="5"/>
      <c r="AM13" s="5"/>
      <c r="AN13" s="5"/>
    </row>
    <row r="14" spans="1:40" ht="6" customHeight="1" thickBot="1">
      <c r="A14" s="550"/>
      <c r="B14" s="551"/>
      <c r="C14" s="551"/>
      <c r="D14" s="551"/>
      <c r="E14" s="551"/>
      <c r="F14" s="551"/>
      <c r="G14" s="551"/>
      <c r="H14" s="552"/>
      <c r="I14" s="552"/>
      <c r="J14" s="6"/>
      <c r="K14" s="6"/>
      <c r="L14" s="6"/>
      <c r="O14" s="66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</row>
    <row r="15" spans="1:40" ht="24" customHeight="1" thickBot="1">
      <c r="A15" s="13"/>
      <c r="B15" s="13"/>
      <c r="C15" s="14"/>
      <c r="D15" s="15"/>
      <c r="F15" s="548" t="s">
        <v>242</v>
      </c>
      <c r="G15" s="549"/>
      <c r="H15" s="42"/>
      <c r="I15" s="273">
        <f>SUM(I5:I14)</f>
        <v>0</v>
      </c>
      <c r="J15" s="555" t="s">
        <v>243</v>
      </c>
      <c r="K15" s="561" t="s">
        <v>244</v>
      </c>
      <c r="L15" s="12"/>
      <c r="O15" s="66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</row>
    <row r="16" spans="1:40" ht="21" customHeight="1" thickBot="1">
      <c r="A16" s="6"/>
      <c r="B16" s="6"/>
      <c r="C16" s="6"/>
      <c r="D16" s="6"/>
      <c r="E16" s="6"/>
      <c r="F16" s="557" t="s">
        <v>245</v>
      </c>
      <c r="G16" s="558"/>
      <c r="H16" s="43"/>
      <c r="I16" s="274">
        <f>(((I15/1.18)*0.015)) + ( I15+ (I15*C2))</f>
        <v>0</v>
      </c>
      <c r="J16" s="556"/>
      <c r="K16" s="561"/>
      <c r="L16" s="6">
        <f>1515*2</f>
        <v>3030</v>
      </c>
      <c r="N16" s="275"/>
      <c r="O16" s="66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</row>
    <row r="17" spans="1:37" ht="22.5" customHeight="1">
      <c r="A17" s="6"/>
      <c r="B17" s="6"/>
      <c r="C17" s="6"/>
      <c r="D17" s="6"/>
      <c r="E17" s="559" t="s">
        <v>246</v>
      </c>
      <c r="F17" s="559"/>
      <c r="G17" s="559"/>
      <c r="H17" s="44"/>
      <c r="I17" s="59"/>
      <c r="J17" s="276">
        <f>((I16-((I15/1.18)*0.015)))-I15</f>
        <v>0</v>
      </c>
      <c r="K17" s="34" t="s">
        <v>247</v>
      </c>
      <c r="L17" s="33"/>
      <c r="N17" s="62"/>
      <c r="O17" s="66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</row>
    <row r="18" spans="1:37" ht="1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>
        <f>13*3</f>
        <v>39</v>
      </c>
      <c r="L18" s="6">
        <f>1279*2</f>
        <v>2558</v>
      </c>
      <c r="N18" s="63"/>
      <c r="O18" s="66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</row>
    <row r="19" spans="1:37" ht="29.25" customHeight="1" thickBot="1">
      <c r="A19" s="560" t="s">
        <v>248</v>
      </c>
      <c r="B19" s="560"/>
      <c r="C19" s="560"/>
      <c r="D19" s="560"/>
      <c r="E19" s="560"/>
      <c r="F19" s="560"/>
      <c r="G19" s="560"/>
      <c r="H19" s="560"/>
      <c r="I19" s="560"/>
      <c r="J19" s="6">
        <f>196.5*1.18</f>
        <v>231.86999999999998</v>
      </c>
      <c r="K19" s="12"/>
      <c r="L19" s="16"/>
      <c r="N19" s="63"/>
      <c r="O19" s="66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</row>
    <row r="20" spans="1:37" ht="22.5" customHeight="1" thickBot="1">
      <c r="A20" s="387" t="s">
        <v>4</v>
      </c>
      <c r="B20" s="388"/>
      <c r="C20" s="260" t="s">
        <v>5</v>
      </c>
      <c r="D20" s="69" t="s">
        <v>6</v>
      </c>
      <c r="E20" s="277" t="s">
        <v>249</v>
      </c>
      <c r="F20" s="277" t="s">
        <v>7</v>
      </c>
      <c r="G20" s="69" t="s">
        <v>250</v>
      </c>
      <c r="H20" s="45"/>
      <c r="I20" s="2" t="s">
        <v>251</v>
      </c>
      <c r="J20" s="12"/>
      <c r="K20" s="6"/>
      <c r="L20" s="6">
        <f>1289*2</f>
        <v>2578</v>
      </c>
      <c r="N20" s="63"/>
      <c r="O20" s="66"/>
      <c r="P20" s="67"/>
      <c r="Q20" s="67"/>
      <c r="R20" s="68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</row>
    <row r="21" spans="1:37" ht="15.75" customHeight="1">
      <c r="A21" s="278">
        <v>89</v>
      </c>
      <c r="B21" s="279"/>
      <c r="C21" s="278"/>
      <c r="D21" s="278"/>
      <c r="E21" s="278"/>
      <c r="F21" s="278"/>
      <c r="G21" s="278"/>
      <c r="H21" s="278"/>
      <c r="I21" s="280"/>
      <c r="J21" s="263" t="s">
        <v>228</v>
      </c>
      <c r="K21" s="271" t="s">
        <v>101</v>
      </c>
      <c r="L21" s="4" t="s">
        <v>240</v>
      </c>
      <c r="M21" s="77"/>
      <c r="N21" s="281" t="s">
        <v>252</v>
      </c>
      <c r="O21" s="66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</row>
    <row r="22" spans="1:37" ht="16.5">
      <c r="A22" s="1">
        <v>1</v>
      </c>
      <c r="B22" s="545" t="s">
        <v>37</v>
      </c>
      <c r="C22" s="1" t="s">
        <v>38</v>
      </c>
      <c r="D22" s="377"/>
      <c r="E22" s="377"/>
      <c r="F22" s="9">
        <v>1</v>
      </c>
      <c r="G22" s="57" t="str">
        <f>IF(SUM(P22:AH22)&lt;=0,"0",(SMALL(P22:AH22, COUNTIF(P22:AH22, "&lt;=0") + 1)))</f>
        <v>0</v>
      </c>
      <c r="H22" s="11"/>
      <c r="I22" s="48">
        <f>((G22)*$C$1)*F22</f>
        <v>0</v>
      </c>
      <c r="J22" s="51"/>
      <c r="K22" s="52"/>
      <c r="L22" s="272"/>
      <c r="M22" s="46"/>
      <c r="N22" s="140"/>
      <c r="O22" s="66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</row>
    <row r="23" spans="1:37" ht="16.5">
      <c r="A23" s="1">
        <v>2</v>
      </c>
      <c r="B23" s="546"/>
      <c r="C23" s="1" t="s">
        <v>41</v>
      </c>
      <c r="D23" s="377"/>
      <c r="E23" s="377"/>
      <c r="F23" s="9">
        <v>1</v>
      </c>
      <c r="G23" s="57" t="str">
        <f>IF(SUM(P23:AH23)&lt;=0,"0",(SMALL(P23:AH23, COUNTIF(P23:AH23, "&lt;=0") + 1)))</f>
        <v>0</v>
      </c>
      <c r="H23" s="11"/>
      <c r="I23" s="48">
        <f>((G23)*$C$1)*F23</f>
        <v>0</v>
      </c>
      <c r="J23" s="51"/>
      <c r="K23" s="52"/>
      <c r="L23" s="272"/>
      <c r="M23" s="46"/>
      <c r="N23" s="140"/>
      <c r="O23" s="66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</row>
    <row r="24" spans="1:37" ht="16.5">
      <c r="A24" s="265">
        <v>4</v>
      </c>
      <c r="B24" s="546"/>
      <c r="C24" s="265" t="s">
        <v>253</v>
      </c>
      <c r="D24" s="17"/>
      <c r="E24" s="17"/>
      <c r="F24" s="18">
        <v>1</v>
      </c>
      <c r="G24" s="57" t="str">
        <f>IF(SUM(P24:AH24)&lt;=0,"0",(SMALL(P24:AH24, COUNTIF(P24:AH24, "&lt;=0") + 1)))</f>
        <v>0</v>
      </c>
      <c r="H24" s="19"/>
      <c r="I24" s="48">
        <f>((G24)*$C$1)*F24</f>
        <v>0</v>
      </c>
      <c r="J24" s="51"/>
      <c r="K24" s="52"/>
      <c r="L24" s="272"/>
      <c r="M24" s="46"/>
      <c r="N24" s="140"/>
      <c r="O24" s="66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</row>
    <row r="25" spans="1:37" ht="16.5">
      <c r="A25" s="1"/>
      <c r="B25" s="20"/>
      <c r="C25" s="1"/>
      <c r="D25" s="377"/>
      <c r="E25" s="377"/>
      <c r="F25" s="9">
        <v>1</v>
      </c>
      <c r="G25" s="57" t="str">
        <f>IF(SUM(P25:AH25)&lt;=0,"0",(SMALL(P25:AH25, COUNTIF(P25:AH25, "&lt;=0") + 1)))</f>
        <v>0</v>
      </c>
      <c r="H25" s="11"/>
      <c r="I25" s="48">
        <f>((G25)*$C$1)*F25</f>
        <v>0</v>
      </c>
      <c r="J25" s="53"/>
      <c r="K25" s="52"/>
      <c r="L25" s="272"/>
      <c r="M25" s="46"/>
      <c r="N25" s="140"/>
      <c r="O25" s="66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</row>
    <row r="26" spans="1:37" ht="17.25" thickBot="1">
      <c r="A26" s="282"/>
      <c r="B26" s="21"/>
      <c r="C26" s="282"/>
      <c r="D26" s="22"/>
      <c r="E26" s="22"/>
      <c r="F26" s="23">
        <v>1</v>
      </c>
      <c r="G26" s="57" t="str">
        <f>IF(SUM(P26:AH26)&lt;=0,"0",(SMALL(P26:AH26, COUNTIF(P26:AH26, "&lt;=0") + 1)))</f>
        <v>0</v>
      </c>
      <c r="H26" s="24"/>
      <c r="I26" s="48">
        <f>((G26)*$C$1)*F26</f>
        <v>0</v>
      </c>
      <c r="J26" s="54"/>
      <c r="K26" s="55"/>
      <c r="L26" s="272"/>
      <c r="M26" s="46"/>
      <c r="N26" s="140"/>
      <c r="O26" s="66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</row>
    <row r="27" spans="1:37" ht="6" customHeight="1" thickBot="1">
      <c r="A27" s="403"/>
      <c r="B27" s="404"/>
      <c r="C27" s="404"/>
      <c r="D27" s="404"/>
      <c r="E27" s="404"/>
      <c r="F27" s="404"/>
      <c r="G27" s="404"/>
      <c r="H27" s="404"/>
      <c r="I27" s="547"/>
      <c r="J27" s="6"/>
      <c r="K27" s="12"/>
      <c r="L27" s="12"/>
      <c r="O27" s="66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</row>
    <row r="28" spans="1:37" ht="21" thickBot="1">
      <c r="A28" s="13"/>
      <c r="B28" s="13"/>
      <c r="C28" s="14"/>
      <c r="D28" s="15"/>
      <c r="F28" s="548" t="s">
        <v>242</v>
      </c>
      <c r="G28" s="549"/>
      <c r="H28" s="42"/>
      <c r="I28" s="273">
        <f>SUM(I22:I26)</f>
        <v>0</v>
      </c>
      <c r="J28" s="555" t="s">
        <v>243</v>
      </c>
      <c r="K28" s="12"/>
      <c r="L28" s="12"/>
      <c r="N28" s="32">
        <v>73.739999999999995</v>
      </c>
      <c r="O28" s="66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</row>
    <row r="29" spans="1:37" ht="21" thickBot="1">
      <c r="A29" s="6"/>
      <c r="B29" s="6"/>
      <c r="C29" s="6"/>
      <c r="D29" s="6"/>
      <c r="E29" s="6"/>
      <c r="F29" s="557" t="s">
        <v>245</v>
      </c>
      <c r="G29" s="558"/>
      <c r="H29" s="43"/>
      <c r="I29" s="274">
        <f>(((I28/1.18)*0.015)) + ( I28+ (I28*C18))</f>
        <v>0</v>
      </c>
      <c r="J29" s="556"/>
      <c r="K29" s="6"/>
      <c r="L29" s="6"/>
      <c r="O29" s="66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</row>
    <row r="30" spans="1:37" ht="21.75" customHeight="1">
      <c r="A30" s="6"/>
      <c r="B30" s="6"/>
      <c r="C30" s="6"/>
      <c r="D30" s="6"/>
      <c r="E30" s="559" t="s">
        <v>246</v>
      </c>
      <c r="F30" s="559"/>
      <c r="G30" s="559"/>
      <c r="H30" s="44"/>
      <c r="I30" s="59"/>
      <c r="J30" s="283">
        <f>((I29-((I28/1.18)*0.015)))-I28</f>
        <v>0</v>
      </c>
      <c r="K30" s="6"/>
      <c r="L30" s="33"/>
      <c r="N30" s="25"/>
      <c r="O30" s="66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</row>
    <row r="31" spans="1:37">
      <c r="A31" s="6"/>
      <c r="B31" s="6"/>
      <c r="C31" s="6"/>
      <c r="D31" s="6"/>
      <c r="E31" s="6"/>
      <c r="F31" s="6"/>
      <c r="G31" s="6"/>
      <c r="H31" s="6"/>
      <c r="I31" s="12"/>
      <c r="J31" s="6"/>
      <c r="K31" s="6"/>
      <c r="L31" s="6"/>
      <c r="N31" s="30"/>
    </row>
    <row r="32" spans="1:37">
      <c r="A32" s="6"/>
      <c r="B32" s="6"/>
      <c r="C32" s="6"/>
      <c r="D32" s="6"/>
      <c r="E32" s="6"/>
      <c r="F32" s="6"/>
      <c r="G32" s="6"/>
      <c r="H32" s="6"/>
      <c r="I32" s="12"/>
      <c r="J32" s="6"/>
      <c r="K32" s="6"/>
      <c r="L32" s="6"/>
    </row>
    <row r="33" spans="1:19">
      <c r="A33" s="6"/>
      <c r="B33" s="6"/>
      <c r="C33" s="6"/>
      <c r="D33" s="6"/>
      <c r="E33" s="6"/>
      <c r="F33" s="12"/>
      <c r="G33" s="6"/>
      <c r="H33" s="6"/>
      <c r="I33" s="6"/>
      <c r="J33" s="6"/>
      <c r="K33" s="6"/>
      <c r="L33" s="6"/>
    </row>
    <row r="34" spans="1:19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9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9">
      <c r="A36" s="6"/>
      <c r="B36" s="6"/>
      <c r="C36" s="6"/>
      <c r="D36" s="6"/>
      <c r="E36" s="6"/>
      <c r="F36" s="26"/>
      <c r="G36" s="6"/>
      <c r="H36" s="6"/>
      <c r="I36" s="6"/>
      <c r="J36" s="12"/>
      <c r="K36" s="35"/>
      <c r="L36" s="6"/>
    </row>
    <row r="37" spans="1:19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9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9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9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S41"/>
    </row>
    <row r="42" spans="1:19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9">
      <c r="A43" s="6"/>
      <c r="B43" s="6"/>
      <c r="C43" s="6"/>
      <c r="D43" s="6"/>
      <c r="E43" s="6"/>
      <c r="F43" s="6"/>
      <c r="G43" s="6"/>
      <c r="H43" s="6"/>
      <c r="I43" s="12"/>
      <c r="J43" s="6"/>
      <c r="K43" s="6"/>
      <c r="L43" s="6"/>
    </row>
    <row r="44" spans="1:19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9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9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9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9">
      <c r="A48" s="6"/>
      <c r="B48" s="6"/>
      <c r="C48" s="6"/>
      <c r="D48" s="6"/>
      <c r="E48" s="6"/>
      <c r="F48" s="6"/>
      <c r="G48" s="6"/>
      <c r="H48" s="6"/>
      <c r="I48" s="6"/>
      <c r="J48" s="6"/>
      <c r="K48" s="27"/>
      <c r="L48" s="27"/>
    </row>
    <row r="49" spans="1:1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4">
      <c r="I51" s="6"/>
    </row>
    <row r="52" spans="1:14">
      <c r="E52" s="28"/>
      <c r="I52" s="6"/>
    </row>
    <row r="53" spans="1:14">
      <c r="I53" s="6"/>
    </row>
    <row r="55" spans="1:14">
      <c r="I55" s="29"/>
    </row>
    <row r="61" spans="1:14">
      <c r="N61"/>
    </row>
    <row r="74" spans="7:7" ht="15.75" thickBot="1"/>
    <row r="75" spans="7:7" ht="15.75" thickBot="1">
      <c r="G75" s="31"/>
    </row>
    <row r="94" spans="10:12">
      <c r="L94"/>
    </row>
    <row r="95" spans="10:12">
      <c r="J95"/>
      <c r="L95"/>
    </row>
    <row r="107" spans="10:10">
      <c r="J107"/>
    </row>
    <row r="108" spans="10:10">
      <c r="J108"/>
    </row>
    <row r="114" spans="10:10">
      <c r="J114"/>
    </row>
    <row r="115" spans="10:10">
      <c r="J115"/>
    </row>
    <row r="118" spans="10:10">
      <c r="J118"/>
    </row>
    <row r="121" spans="10:10">
      <c r="J121"/>
    </row>
    <row r="141" spans="11:12">
      <c r="K141" s="5">
        <v>35.19</v>
      </c>
      <c r="L141" s="5">
        <v>24.6</v>
      </c>
    </row>
    <row r="142" spans="11:12">
      <c r="K142" s="5">
        <v>52.92</v>
      </c>
      <c r="L142" s="5">
        <v>3176.17</v>
      </c>
    </row>
    <row r="143" spans="11:12">
      <c r="K143" s="5">
        <f>SUM(K141:K142)</f>
        <v>88.11</v>
      </c>
      <c r="L143" s="5">
        <v>850.22</v>
      </c>
    </row>
    <row r="144" spans="11:12">
      <c r="L144" s="5">
        <f>SUM(L141:L143)</f>
        <v>4050.99</v>
      </c>
    </row>
    <row r="145" spans="7:12">
      <c r="J145" s="5">
        <v>789</v>
      </c>
    </row>
    <row r="146" spans="7:12">
      <c r="G146" s="5">
        <v>4619</v>
      </c>
    </row>
    <row r="147" spans="7:12">
      <c r="G147" s="5">
        <v>100</v>
      </c>
      <c r="L147" s="5">
        <f>L144-2100</f>
        <v>1950.9899999999998</v>
      </c>
    </row>
    <row r="148" spans="7:12">
      <c r="G148" s="5">
        <v>5000</v>
      </c>
    </row>
    <row r="149" spans="7:12">
      <c r="G149" s="5">
        <f>SUM(G146:G148)</f>
        <v>9719</v>
      </c>
    </row>
    <row r="151" spans="7:12">
      <c r="L151" s="5">
        <f>L147/3.26</f>
        <v>598.46319018404904</v>
      </c>
    </row>
    <row r="154" spans="7:12">
      <c r="K154" s="5">
        <f>L151+K143</f>
        <v>686.57319018404905</v>
      </c>
    </row>
  </sheetData>
  <mergeCells count="34">
    <mergeCell ref="A1:B1"/>
    <mergeCell ref="D1:I1"/>
    <mergeCell ref="A2:B2"/>
    <mergeCell ref="A3:B3"/>
    <mergeCell ref="A4:I4"/>
    <mergeCell ref="J15:J16"/>
    <mergeCell ref="K15:K16"/>
    <mergeCell ref="F16:G16"/>
    <mergeCell ref="D7:E7"/>
    <mergeCell ref="D8:E8"/>
    <mergeCell ref="J28:J29"/>
    <mergeCell ref="F29:G29"/>
    <mergeCell ref="E30:G30"/>
    <mergeCell ref="E17:G17"/>
    <mergeCell ref="A19:I19"/>
    <mergeCell ref="A20:B20"/>
    <mergeCell ref="D5:E5"/>
    <mergeCell ref="D6:E6"/>
    <mergeCell ref="B22:B24"/>
    <mergeCell ref="A27:I27"/>
    <mergeCell ref="F28:G28"/>
    <mergeCell ref="B5:B13"/>
    <mergeCell ref="A14:I14"/>
    <mergeCell ref="F15:G15"/>
    <mergeCell ref="D9:E9"/>
    <mergeCell ref="D10:E10"/>
    <mergeCell ref="D11:E11"/>
    <mergeCell ref="D12:E12"/>
    <mergeCell ref="D13:E13"/>
    <mergeCell ref="P3:U3"/>
    <mergeCell ref="J2:K2"/>
    <mergeCell ref="G2:H2"/>
    <mergeCell ref="E2:F2"/>
    <mergeCell ref="D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</dc:creator>
  <cp:keywords/>
  <dc:description/>
  <cp:lastModifiedBy>UNIK STORE</cp:lastModifiedBy>
  <cp:revision/>
  <dcterms:created xsi:type="dcterms:W3CDTF">2014-09-25T14:52:20Z</dcterms:created>
  <dcterms:modified xsi:type="dcterms:W3CDTF">2026-09-28T23:53:53Z</dcterms:modified>
  <cp:category/>
  <cp:contentStatus/>
</cp:coreProperties>
</file>